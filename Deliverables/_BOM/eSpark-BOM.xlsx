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bryandelmee-olliealarm\Deliverables\_BOM\"/>
    </mc:Choice>
  </mc:AlternateContent>
  <bookViews>
    <workbookView xWindow="28680" yWindow="-120" windowWidth="29040" windowHeight="15840" activeTab="1"/>
  </bookViews>
  <sheets>
    <sheet name="1 Board" sheetId="2" r:id="rId1"/>
    <sheet name="5 Boards" sheetId="1" r:id="rId2"/>
  </sheets>
  <calcPr calcId="162913"/>
</workbook>
</file>

<file path=xl/calcChain.xml><?xml version="1.0" encoding="utf-8"?>
<calcChain xmlns="http://schemas.openxmlformats.org/spreadsheetml/2006/main">
  <c r="P10" i="2" l="1"/>
  <c r="B11" i="2"/>
  <c r="P11" i="2"/>
  <c r="B12" i="2"/>
  <c r="P12" i="2"/>
  <c r="B13" i="2"/>
  <c r="P13" i="2"/>
  <c r="B14" i="2"/>
  <c r="P14" i="2"/>
  <c r="B15" i="2"/>
  <c r="P15" i="2"/>
  <c r="B16" i="2"/>
  <c r="P16" i="2"/>
  <c r="B17" i="2"/>
  <c r="P17" i="2"/>
  <c r="B10" i="2"/>
  <c r="Q18" i="1"/>
  <c r="P18" i="2" l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19" i="1" l="1"/>
  <c r="Q11" i="1"/>
  <c r="Q10" i="1"/>
  <c r="M11" i="1"/>
  <c r="M10" i="1"/>
  <c r="B11" i="1"/>
  <c r="B10" i="1"/>
</calcChain>
</file>

<file path=xl/sharedStrings.xml><?xml version="1.0" encoding="utf-8"?>
<sst xmlns="http://schemas.openxmlformats.org/spreadsheetml/2006/main" count="214" uniqueCount="86">
  <si>
    <t>Component list</t>
  </si>
  <si>
    <t>Source Data From:</t>
  </si>
  <si>
    <t>Project:</t>
  </si>
  <si>
    <t>Variant:</t>
  </si>
  <si>
    <t>#</t>
  </si>
  <si>
    <t xml:space="preserve">Total Component Cost </t>
  </si>
  <si>
    <t>Single Board Cost</t>
  </si>
  <si>
    <t>None</t>
  </si>
  <si>
    <t>Item Type</t>
  </si>
  <si>
    <t>Capacitor</t>
  </si>
  <si>
    <t>Diode</t>
  </si>
  <si>
    <t>Fuse</t>
  </si>
  <si>
    <t>JST Right Angle</t>
  </si>
  <si>
    <t>USB Connector</t>
  </si>
  <si>
    <t>Resistor</t>
  </si>
  <si>
    <t>Switch</t>
  </si>
  <si>
    <t>Designator</t>
  </si>
  <si>
    <t>C1, C2, C3, C4</t>
  </si>
  <si>
    <t>C62</t>
  </si>
  <si>
    <t>D1</t>
  </si>
  <si>
    <t>F1</t>
  </si>
  <si>
    <t>J1</t>
  </si>
  <si>
    <t>J2</t>
  </si>
  <si>
    <t>R1, R2</t>
  </si>
  <si>
    <t>SW1</t>
  </si>
  <si>
    <t>Description</t>
  </si>
  <si>
    <t>CAP CER 1000PF 25V C0G 0402</t>
  </si>
  <si>
    <t>CAP CER 0.1UF 25V X5R 0402</t>
  </si>
  <si>
    <t>TVS DIODE 5VWM 6.3VC DSN0603-2</t>
  </si>
  <si>
    <t>6V 2A 50A 1W -40℃~+85℃ 4A 4mΩ 5s 45mΩ 0805 Resettable Fuses ROHS</t>
  </si>
  <si>
    <t>1x5P 1 1.25mm Male pin 5 -25℃~+85℃ Surface Mount SMD,P=1.25mm Wire To Board / Wire To Wire Connector ROHS</t>
  </si>
  <si>
    <t>USB 3.1 1 Brick nogging 16 Female Type-C SMD USB Connectors ROHS</t>
  </si>
  <si>
    <t>RES 5.1K OHM 1% 1/16W 0402</t>
  </si>
  <si>
    <t>-25℃~+85℃ 6mm 5mm Round Button 50mA Brick nogging 6mm SPST 100MΩ 100000 250gf@±30gf 12V SMD Tactile Switches ROHS</t>
  </si>
  <si>
    <t>Footprint</t>
  </si>
  <si>
    <t>Cap-0402</t>
  </si>
  <si>
    <t>DSN0603-2</t>
  </si>
  <si>
    <t>Fuse-0805</t>
  </si>
  <si>
    <t>1.25-5PWB</t>
  </si>
  <si>
    <t>918-418K2022Y40009</t>
  </si>
  <si>
    <t>Res-0402</t>
  </si>
  <si>
    <t>K2-1102SP-C4SC-04</t>
  </si>
  <si>
    <t>Manufacturer Part Number</t>
  </si>
  <si>
    <t>C1005C0G1E102JT000F</t>
  </si>
  <si>
    <t>CC0402KRX5R8BB104</t>
  </si>
  <si>
    <t>PESD5V0H1BSFYL</t>
  </si>
  <si>
    <t>BSMD0805L-200</t>
  </si>
  <si>
    <t>RC0402FR-075K1L</t>
  </si>
  <si>
    <t>Manufacturer</t>
  </si>
  <si>
    <t>TDK</t>
  </si>
  <si>
    <t>Yageo</t>
  </si>
  <si>
    <t>Nexperia</t>
  </si>
  <si>
    <t>BHFUSE</t>
  </si>
  <si>
    <t>DEALON</t>
  </si>
  <si>
    <t>Jing Extension</t>
  </si>
  <si>
    <t>Korean Hroparts Elec</t>
  </si>
  <si>
    <t>LCSC Part Number</t>
  </si>
  <si>
    <t>C343059</t>
  </si>
  <si>
    <t>C106256</t>
  </si>
  <si>
    <t>C477989</t>
  </si>
  <si>
    <t>C2757931</t>
  </si>
  <si>
    <t>C2905012</t>
  </si>
  <si>
    <t>C2763102</t>
  </si>
  <si>
    <t>C137973</t>
  </si>
  <si>
    <t>C127509</t>
  </si>
  <si>
    <t>1nF</t>
  </si>
  <si>
    <t>100nF</t>
  </si>
  <si>
    <t>5.1K</t>
  </si>
  <si>
    <t>Quantity</t>
  </si>
  <si>
    <t>Bill of Materials for Project [Side-PCB-v1.1]</t>
  </si>
  <si>
    <t>Side-PCB-v1.1</t>
  </si>
  <si>
    <t>Value</t>
  </si>
  <si>
    <t>-</t>
  </si>
  <si>
    <t>Alternate Part Number</t>
  </si>
  <si>
    <t>Quantity (5 Boards)</t>
  </si>
  <si>
    <t>MOQ (5 Boards)</t>
  </si>
  <si>
    <t>Links</t>
  </si>
  <si>
    <t>UnitCost (5 Boards)</t>
  </si>
  <si>
    <t>TotalCost (5 Boards)</t>
  </si>
  <si>
    <t>Remarks</t>
  </si>
  <si>
    <t>Reviewer Remarks</t>
  </si>
  <si>
    <t>Custom</t>
  </si>
  <si>
    <t>LCSC</t>
  </si>
  <si>
    <t>MOQ (1 Boards)</t>
  </si>
  <si>
    <t>UnitCost (1 Boards)</t>
  </si>
  <si>
    <t>TotalCost (1 Boards)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</si>
</sst>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3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83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0" xfId="0" applyNumberFormat="1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8" fillId="2" borderId="2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20" fillId="3" borderId="19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  <xf numFmtId="0" fontId="21" fillId="2" borderId="16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22" fillId="2" borderId="16" xfId="1" applyFill="1" applyBorder="1" applyAlignment="1">
      <alignment horizontal="center" vertical="center" wrapText="1"/>
    </xf>
    <xf numFmtId="0" fontId="22" fillId="2" borderId="17" xfId="1" applyFill="1" applyBorder="1" applyAlignment="1">
      <alignment horizontal="center" vertical="center" wrapText="1"/>
    </xf>
    <xf numFmtId="0" fontId="11" fillId="4" borderId="21" xfId="0" applyFont="1" applyFill="1" applyBorder="1" applyAlignment="1">
      <alignment horizontal="center" vertical="center" wrapText="1"/>
    </xf>
    <xf numFmtId="0" fontId="21" fillId="2" borderId="21" xfId="0" applyFont="1" applyFill="1" applyBorder="1" applyAlignment="1">
      <alignment horizontal="center" vertical="center" wrapText="1"/>
    </xf>
    <xf numFmtId="0" fontId="22" fillId="2" borderId="21" xfId="1" applyFill="1" applyBorder="1" applyAlignment="1">
      <alignment horizontal="center" vertical="center" wrapText="1"/>
    </xf>
    <xf numFmtId="165" fontId="18" fillId="2" borderId="21" xfId="0" applyNumberFormat="1" applyFont="1" applyFill="1" applyBorder="1" applyAlignment="1">
      <alignment horizontal="center" vertical="center" wrapText="1"/>
    </xf>
    <xf numFmtId="0" fontId="11" fillId="3" borderId="19" xfId="0" applyFont="1" applyFill="1" applyBorder="1" applyAlignment="1" applyProtection="1">
      <alignment horizontal="center" vertical="center"/>
      <protection locked="0"/>
    </xf>
    <xf numFmtId="0" fontId="11" fillId="3" borderId="12" xfId="0" applyFont="1" applyFill="1" applyBorder="1" applyAlignment="1" applyProtection="1">
      <alignment horizontal="center" vertical="center"/>
      <protection locked="0"/>
    </xf>
    <xf numFmtId="0" fontId="11" fillId="3" borderId="12" xfId="0" applyFont="1" applyFill="1" applyBorder="1" applyAlignment="1" applyProtection="1">
      <alignment vertical="center"/>
      <protection locked="0"/>
    </xf>
    <xf numFmtId="0" fontId="12" fillId="3" borderId="12" xfId="0" applyFont="1" applyFill="1" applyBorder="1" applyAlignment="1" applyProtection="1">
      <alignment horizontal="left" vertical="center"/>
      <protection locked="0"/>
    </xf>
    <xf numFmtId="0" fontId="0" fillId="3" borderId="12" xfId="0" applyFill="1" applyBorder="1" applyAlignment="1">
      <alignment vertical="center"/>
    </xf>
    <xf numFmtId="0" fontId="0" fillId="3" borderId="12" xfId="0" applyFill="1" applyBorder="1"/>
    <xf numFmtId="0" fontId="17" fillId="3" borderId="12" xfId="0" applyFont="1" applyFill="1" applyBorder="1" applyAlignment="1">
      <alignment horizontal="center" vertical="center" wrapText="1"/>
    </xf>
    <xf numFmtId="0" fontId="17" fillId="3" borderId="13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11" fillId="3" borderId="11" xfId="0" applyFont="1" applyFill="1" applyBorder="1" applyAlignment="1" applyProtection="1">
      <alignment horizontal="center" vertical="center"/>
      <protection locked="0"/>
    </xf>
    <xf numFmtId="0" fontId="11" fillId="3" borderId="11" xfId="0" applyFont="1" applyFill="1" applyBorder="1" applyAlignment="1" applyProtection="1">
      <alignment vertical="center"/>
      <protection locked="0"/>
    </xf>
    <xf numFmtId="0" fontId="12" fillId="3" borderId="11" xfId="0" applyFont="1" applyFill="1" applyBorder="1" applyAlignment="1" applyProtection="1">
      <alignment horizontal="left" vertical="center"/>
      <protection locked="0"/>
    </xf>
    <xf numFmtId="0" fontId="0" fillId="3" borderId="11" xfId="0" applyFill="1" applyBorder="1" applyAlignment="1">
      <alignment vertical="center"/>
    </xf>
    <xf numFmtId="0" fontId="0" fillId="3" borderId="11" xfId="0" applyFill="1" applyBorder="1"/>
    <xf numFmtId="0" fontId="17" fillId="3" borderId="11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2</xdr:row>
      <xdr:rowOff>10417</xdr:rowOff>
    </xdr:from>
    <xdr:to>
      <xdr:col>17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983450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Multilayer-Ceramic-Capacitors-MLCC-SMD-SMT_TDK-C1005C0G1E102JT000F_C343059.html" TargetMode="External"/><Relationship Id="rId3" Type="http://schemas.openxmlformats.org/officeDocument/2006/relationships/hyperlink" Target="https://www.lcsc.com/product-detail/USB-Connectors_Jing-Extension-of-the-Electronic-Co-918-418K2022Y40009_C2763102.html" TargetMode="External"/><Relationship Id="rId7" Type="http://schemas.openxmlformats.org/officeDocument/2006/relationships/hyperlink" Target="https://www.lcsc.com/product-detail/Multilayer-Ceramic-Capacitors-MLCC-SMD-SMT_YAGEO-CC0402KRX5R8BB104_C106256.html" TargetMode="External"/><Relationship Id="rId2" Type="http://schemas.openxmlformats.org/officeDocument/2006/relationships/hyperlink" Target="https://www.lcsc.com/product-detail/Chip-Resistor-Surface-Mount_YAGEO-RC0402FR-0747RL_C137973.html" TargetMode="External"/><Relationship Id="rId1" Type="http://schemas.openxmlformats.org/officeDocument/2006/relationships/hyperlink" Target="https://www.lcsc.com/product-detail/Tactile-Switches_Korean-Hroparts-Elec-K2-1102SP-C4SC-04_C127509.html" TargetMode="External"/><Relationship Id="rId6" Type="http://schemas.openxmlformats.org/officeDocument/2006/relationships/hyperlink" Target="https://www.lcsc.com/product-detail/ESD-Protection-Devices_Nexperia-PESD5V0H1BSF_C477989.html" TargetMode="External"/><Relationship Id="rId5" Type="http://schemas.openxmlformats.org/officeDocument/2006/relationships/hyperlink" Target="https://www.lcsc.com/product-detail/Resettable-Fuses_BHFUSE-BSMD0805L-200_C2757931.html" TargetMode="External"/><Relationship Id="rId4" Type="http://schemas.openxmlformats.org/officeDocument/2006/relationships/hyperlink" Target="https://www.lcsc.com/product-detail/Wire-To-Board-Wire-To-Wire-Connector_DEALON-1-25-5PWB_C2905012.html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Tactile-Switches_Korean-Hroparts-Elec-K2-1102SP-C4SC-04_C127509.html" TargetMode="External"/><Relationship Id="rId3" Type="http://schemas.openxmlformats.org/officeDocument/2006/relationships/hyperlink" Target="https://www.lcsc.com/product-detail/ESD-Protection-Devices_Nexperia-PESD5V0H1BSF_C477989.html" TargetMode="External"/><Relationship Id="rId7" Type="http://schemas.openxmlformats.org/officeDocument/2006/relationships/hyperlink" Target="https://www.lcsc.com/product-detail/Chip-Resistor-Surface-Mount_YAGEO-RC0402FR-0747RL_C137973.html" TargetMode="External"/><Relationship Id="rId2" Type="http://schemas.openxmlformats.org/officeDocument/2006/relationships/hyperlink" Target="https://www.lcsc.com/product-detail/Multilayer-Ceramic-Capacitors-MLCC-SMD-SMT_YAGEO-CC0402KRX5R8BB104_C106256.html" TargetMode="External"/><Relationship Id="rId1" Type="http://schemas.openxmlformats.org/officeDocument/2006/relationships/hyperlink" Target="https://www.lcsc.com/product-detail/Multilayer-Ceramic-Capacitors-MLCC-SMD-SMT_TDK-C1005C0G1E102JT000F_C343059.html" TargetMode="External"/><Relationship Id="rId6" Type="http://schemas.openxmlformats.org/officeDocument/2006/relationships/hyperlink" Target="https://www.lcsc.com/product-detail/USB-Connectors_Jing-Extension-of-the-Electronic-Co-918-418K2022Y40009_C2763102.html" TargetMode="External"/><Relationship Id="rId5" Type="http://schemas.openxmlformats.org/officeDocument/2006/relationships/hyperlink" Target="https://www.lcsc.com/product-detail/Wire-To-Board-Wire-To-Wire-Connector_DEALON-1-25-5PWB_C2905012.html" TargetMode="External"/><Relationship Id="rId10" Type="http://schemas.openxmlformats.org/officeDocument/2006/relationships/drawing" Target="../drawings/drawing2.xml"/><Relationship Id="rId4" Type="http://schemas.openxmlformats.org/officeDocument/2006/relationships/hyperlink" Target="https://www.lcsc.com/product-detail/Resettable-Fuses_BHFUSE-BSMD0805L-200_C2757931.html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workbookViewId="0">
      <selection activeCell="F24" sqref="F24"/>
    </sheetView>
  </sheetViews>
  <sheetFormatPr defaultRowHeight="15" x14ac:dyDescent="0.25"/>
  <cols>
    <col min="2" max="2" width="2.42578125" customWidth="1"/>
    <col min="3" max="3" width="11.140625" customWidth="1"/>
    <col min="4" max="4" width="31.140625" bestFit="1" customWidth="1"/>
    <col min="5" max="5" width="24.42578125" customWidth="1"/>
    <col min="6" max="6" width="11.28515625" customWidth="1"/>
    <col min="7" max="7" width="25.28515625" bestFit="1" customWidth="1"/>
    <col min="8" max="8" width="13.285156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5.140625" bestFit="1" customWidth="1"/>
    <col min="14" max="14" width="5.42578125" bestFit="1" customWidth="1"/>
    <col min="15" max="15" width="18.28515625" bestFit="1" customWidth="1"/>
    <col min="16" max="16" width="18.85546875" bestFit="1" customWidth="1"/>
    <col min="18" max="18" width="26.7109375" customWidth="1"/>
  </cols>
  <sheetData>
    <row r="1" spans="1:18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51"/>
      <c r="L1" s="51"/>
      <c r="M1" s="51"/>
      <c r="N1" s="51"/>
      <c r="O1" s="51"/>
      <c r="P1" s="51"/>
      <c r="Q1" s="51"/>
      <c r="R1" s="52"/>
    </row>
    <row r="2" spans="1:18" ht="32.25" thickBot="1" x14ac:dyDescent="0.3">
      <c r="A2" s="1"/>
      <c r="B2" s="21"/>
      <c r="C2" s="31"/>
      <c r="D2" s="11" t="s">
        <v>0</v>
      </c>
      <c r="E2" s="11"/>
      <c r="F2" s="46" t="s">
        <v>69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3"/>
    </row>
    <row r="3" spans="1:18" x14ac:dyDescent="0.25">
      <c r="A3" s="1"/>
      <c r="B3" s="22"/>
      <c r="C3" s="32"/>
      <c r="D3" s="13" t="s">
        <v>1</v>
      </c>
      <c r="E3" s="13"/>
      <c r="F3" s="47" t="s">
        <v>70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3"/>
    </row>
    <row r="4" spans="1:18" x14ac:dyDescent="0.25">
      <c r="A4" s="1"/>
      <c r="B4" s="22"/>
      <c r="C4" s="32"/>
      <c r="D4" s="13" t="s">
        <v>2</v>
      </c>
      <c r="E4" s="13"/>
      <c r="F4" s="48" t="s">
        <v>70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54"/>
    </row>
    <row r="5" spans="1:18" x14ac:dyDescent="0.25">
      <c r="A5" s="1"/>
      <c r="B5" s="22"/>
      <c r="C5" s="32"/>
      <c r="D5" s="13" t="s">
        <v>3</v>
      </c>
      <c r="E5" s="13"/>
      <c r="F5" s="49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54"/>
    </row>
    <row r="6" spans="1:18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54"/>
    </row>
    <row r="7" spans="1:18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54"/>
    </row>
    <row r="8" spans="1:18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54"/>
    </row>
    <row r="9" spans="1:18" ht="15.75" thickBot="1" x14ac:dyDescent="0.3">
      <c r="A9" s="1"/>
      <c r="B9" s="30" t="s">
        <v>4</v>
      </c>
      <c r="C9" s="30" t="s">
        <v>8</v>
      </c>
      <c r="D9" s="30" t="s">
        <v>16</v>
      </c>
      <c r="E9" s="30" t="s">
        <v>25</v>
      </c>
      <c r="F9" s="30" t="s">
        <v>34</v>
      </c>
      <c r="G9" s="30" t="s">
        <v>42</v>
      </c>
      <c r="H9" s="30" t="s">
        <v>48</v>
      </c>
      <c r="I9" s="30" t="s">
        <v>73</v>
      </c>
      <c r="J9" s="30" t="s">
        <v>56</v>
      </c>
      <c r="K9" s="30" t="s">
        <v>71</v>
      </c>
      <c r="L9" s="30" t="s">
        <v>68</v>
      </c>
      <c r="M9" s="30" t="s">
        <v>83</v>
      </c>
      <c r="N9" s="30" t="s">
        <v>76</v>
      </c>
      <c r="O9" s="30" t="s">
        <v>84</v>
      </c>
      <c r="P9" s="30" t="s">
        <v>85</v>
      </c>
      <c r="Q9" s="30" t="s">
        <v>79</v>
      </c>
      <c r="R9" s="30" t="s">
        <v>80</v>
      </c>
    </row>
    <row r="10" spans="1:18" x14ac:dyDescent="0.25">
      <c r="A10" s="1"/>
      <c r="B10" s="39">
        <f>ROW(B10) - ROW($B$9)</f>
        <v>1</v>
      </c>
      <c r="C10" s="59" t="s">
        <v>9</v>
      </c>
      <c r="D10" s="37" t="s">
        <v>17</v>
      </c>
      <c r="E10" s="37" t="s">
        <v>26</v>
      </c>
      <c r="F10" s="37" t="s">
        <v>35</v>
      </c>
      <c r="G10" s="37" t="s">
        <v>43</v>
      </c>
      <c r="H10" s="37" t="s">
        <v>49</v>
      </c>
      <c r="I10" s="37" t="s">
        <v>72</v>
      </c>
      <c r="J10" s="37" t="s">
        <v>57</v>
      </c>
      <c r="K10" s="37" t="s">
        <v>65</v>
      </c>
      <c r="L10" s="37">
        <v>4</v>
      </c>
      <c r="M10" s="37">
        <v>50</v>
      </c>
      <c r="N10" s="61" t="s">
        <v>82</v>
      </c>
      <c r="O10" s="38">
        <v>1.61E-2</v>
      </c>
      <c r="P10" s="38">
        <f>O10*M10</f>
        <v>0.80499999999999994</v>
      </c>
      <c r="Q10" s="37"/>
      <c r="R10" s="43"/>
    </row>
    <row r="11" spans="1:18" x14ac:dyDescent="0.25">
      <c r="A11" s="1"/>
      <c r="B11" s="40">
        <f t="shared" ref="B11:B17" si="0">ROW(B11) - ROW($B$9)</f>
        <v>2</v>
      </c>
      <c r="C11" s="60" t="s">
        <v>9</v>
      </c>
      <c r="D11" s="44" t="s">
        <v>18</v>
      </c>
      <c r="E11" s="44" t="s">
        <v>27</v>
      </c>
      <c r="F11" s="44" t="s">
        <v>35</v>
      </c>
      <c r="G11" s="44" t="s">
        <v>44</v>
      </c>
      <c r="H11" s="44" t="s">
        <v>50</v>
      </c>
      <c r="I11" s="44" t="s">
        <v>72</v>
      </c>
      <c r="J11" s="44" t="s">
        <v>58</v>
      </c>
      <c r="K11" s="44" t="s">
        <v>66</v>
      </c>
      <c r="L11" s="44">
        <v>1</v>
      </c>
      <c r="M11" s="44">
        <v>100</v>
      </c>
      <c r="N11" s="62" t="s">
        <v>82</v>
      </c>
      <c r="O11" s="45">
        <v>1.8E-3</v>
      </c>
      <c r="P11" s="45">
        <f t="shared" ref="P11" si="1">O11*M11</f>
        <v>0.18</v>
      </c>
      <c r="Q11" s="44"/>
      <c r="R11" s="44"/>
    </row>
    <row r="12" spans="1:18" ht="24" x14ac:dyDescent="0.25">
      <c r="A12" s="1"/>
      <c r="B12" s="39">
        <f>ROW(B12) - ROW($B$9)</f>
        <v>3</v>
      </c>
      <c r="C12" s="59" t="s">
        <v>10</v>
      </c>
      <c r="D12" s="37" t="s">
        <v>19</v>
      </c>
      <c r="E12" s="37" t="s">
        <v>28</v>
      </c>
      <c r="F12" s="37" t="s">
        <v>36</v>
      </c>
      <c r="G12" s="37" t="s">
        <v>45</v>
      </c>
      <c r="H12" s="37" t="s">
        <v>51</v>
      </c>
      <c r="I12" s="37" t="s">
        <v>72</v>
      </c>
      <c r="J12" s="37" t="s">
        <v>59</v>
      </c>
      <c r="K12" s="37" t="s">
        <v>72</v>
      </c>
      <c r="L12" s="37">
        <v>1</v>
      </c>
      <c r="M12" s="37">
        <v>10</v>
      </c>
      <c r="N12" s="61" t="s">
        <v>82</v>
      </c>
      <c r="O12" s="38">
        <v>6.6000000000000003E-2</v>
      </c>
      <c r="P12" s="38">
        <f>O12*M12</f>
        <v>0.66</v>
      </c>
      <c r="Q12" s="37"/>
      <c r="R12" s="50"/>
    </row>
    <row r="13" spans="1:18" ht="36" x14ac:dyDescent="0.25">
      <c r="A13" s="1"/>
      <c r="B13" s="40">
        <f t="shared" si="0"/>
        <v>4</v>
      </c>
      <c r="C13" s="60" t="s">
        <v>11</v>
      </c>
      <c r="D13" s="44" t="s">
        <v>20</v>
      </c>
      <c r="E13" s="44" t="s">
        <v>29</v>
      </c>
      <c r="F13" s="44" t="s">
        <v>37</v>
      </c>
      <c r="G13" s="44" t="s">
        <v>46</v>
      </c>
      <c r="H13" s="44" t="s">
        <v>52</v>
      </c>
      <c r="I13" s="44" t="s">
        <v>72</v>
      </c>
      <c r="J13" s="44" t="s">
        <v>60</v>
      </c>
      <c r="K13" s="44" t="s">
        <v>72</v>
      </c>
      <c r="L13" s="44">
        <v>1</v>
      </c>
      <c r="M13" s="44">
        <v>10</v>
      </c>
      <c r="N13" s="62" t="s">
        <v>82</v>
      </c>
      <c r="O13" s="45">
        <v>9.8199999999999996E-2</v>
      </c>
      <c r="P13" s="45">
        <f t="shared" ref="P13" si="2">O13*M13</f>
        <v>0.98199999999999998</v>
      </c>
      <c r="Q13" s="44"/>
      <c r="R13" s="50"/>
    </row>
    <row r="14" spans="1:18" ht="60" x14ac:dyDescent="0.25">
      <c r="A14" s="1"/>
      <c r="B14" s="39">
        <f>ROW(B14) - ROW($B$9)</f>
        <v>5</v>
      </c>
      <c r="C14" s="59" t="s">
        <v>12</v>
      </c>
      <c r="D14" s="37" t="s">
        <v>21</v>
      </c>
      <c r="E14" s="37" t="s">
        <v>30</v>
      </c>
      <c r="F14" s="37" t="s">
        <v>81</v>
      </c>
      <c r="G14" s="37" t="s">
        <v>38</v>
      </c>
      <c r="H14" s="37" t="s">
        <v>53</v>
      </c>
      <c r="I14" s="37" t="s">
        <v>72</v>
      </c>
      <c r="J14" s="37" t="s">
        <v>61</v>
      </c>
      <c r="K14" s="37" t="s">
        <v>72</v>
      </c>
      <c r="L14" s="37">
        <v>1</v>
      </c>
      <c r="M14" s="37">
        <v>10</v>
      </c>
      <c r="N14" s="61" t="s">
        <v>82</v>
      </c>
      <c r="O14" s="38">
        <v>3.8199999999999998E-2</v>
      </c>
      <c r="P14" s="38">
        <f>O14*M14</f>
        <v>0.38200000000000001</v>
      </c>
      <c r="Q14" s="37"/>
      <c r="R14" s="50"/>
    </row>
    <row r="15" spans="1:18" ht="36" x14ac:dyDescent="0.25">
      <c r="A15" s="1"/>
      <c r="B15" s="40">
        <f t="shared" si="0"/>
        <v>6</v>
      </c>
      <c r="C15" s="60" t="s">
        <v>13</v>
      </c>
      <c r="D15" s="44" t="s">
        <v>22</v>
      </c>
      <c r="E15" s="44" t="s">
        <v>31</v>
      </c>
      <c r="F15" s="44" t="s">
        <v>81</v>
      </c>
      <c r="G15" s="44" t="s">
        <v>39</v>
      </c>
      <c r="H15" s="44" t="s">
        <v>54</v>
      </c>
      <c r="I15" s="44" t="s">
        <v>72</v>
      </c>
      <c r="J15" s="44" t="s">
        <v>62</v>
      </c>
      <c r="K15" s="44" t="s">
        <v>72</v>
      </c>
      <c r="L15" s="44">
        <v>1</v>
      </c>
      <c r="M15" s="44">
        <v>2</v>
      </c>
      <c r="N15" s="62" t="s">
        <v>82</v>
      </c>
      <c r="O15" s="45">
        <v>0.55530000000000002</v>
      </c>
      <c r="P15" s="45">
        <f t="shared" ref="P15" si="3">O15*M15</f>
        <v>1.1106</v>
      </c>
      <c r="Q15" s="44"/>
      <c r="R15" s="50"/>
    </row>
    <row r="16" spans="1:18" x14ac:dyDescent="0.25">
      <c r="A16" s="1"/>
      <c r="B16" s="39">
        <f>ROW(B16) - ROW($B$9)</f>
        <v>7</v>
      </c>
      <c r="C16" s="59" t="s">
        <v>14</v>
      </c>
      <c r="D16" s="37" t="s">
        <v>23</v>
      </c>
      <c r="E16" s="37" t="s">
        <v>32</v>
      </c>
      <c r="F16" s="37" t="s">
        <v>40</v>
      </c>
      <c r="G16" s="37" t="s">
        <v>47</v>
      </c>
      <c r="H16" s="37" t="s">
        <v>50</v>
      </c>
      <c r="I16" s="37" t="s">
        <v>72</v>
      </c>
      <c r="J16" s="37" t="s">
        <v>63</v>
      </c>
      <c r="K16" s="37" t="s">
        <v>67</v>
      </c>
      <c r="L16" s="37">
        <v>2</v>
      </c>
      <c r="M16" s="37">
        <v>100</v>
      </c>
      <c r="N16" s="61" t="s">
        <v>82</v>
      </c>
      <c r="O16" s="38">
        <v>6.9999999999999999E-4</v>
      </c>
      <c r="P16" s="38">
        <f>O16*M16</f>
        <v>6.9999999999999993E-2</v>
      </c>
      <c r="Q16" s="37"/>
      <c r="R16" s="50"/>
    </row>
    <row r="17" spans="1:18" ht="60.75" thickBot="1" x14ac:dyDescent="0.3">
      <c r="A17" s="1"/>
      <c r="B17" s="63">
        <f t="shared" si="0"/>
        <v>8</v>
      </c>
      <c r="C17" s="64" t="s">
        <v>15</v>
      </c>
      <c r="D17" s="50" t="s">
        <v>24</v>
      </c>
      <c r="E17" s="50" t="s">
        <v>33</v>
      </c>
      <c r="F17" s="50" t="s">
        <v>81</v>
      </c>
      <c r="G17" s="50" t="s">
        <v>41</v>
      </c>
      <c r="H17" s="50" t="s">
        <v>55</v>
      </c>
      <c r="I17" s="50" t="s">
        <v>72</v>
      </c>
      <c r="J17" s="50" t="s">
        <v>64</v>
      </c>
      <c r="K17" s="50" t="s">
        <v>72</v>
      </c>
      <c r="L17" s="50">
        <v>1</v>
      </c>
      <c r="M17" s="50">
        <v>10</v>
      </c>
      <c r="N17" s="65" t="s">
        <v>82</v>
      </c>
      <c r="O17" s="66">
        <v>5.4600000000000003E-2</v>
      </c>
      <c r="P17" s="66">
        <f t="shared" ref="P17" si="4">O17*M17</f>
        <v>0.54600000000000004</v>
      </c>
      <c r="Q17" s="50"/>
      <c r="R17" s="50"/>
    </row>
    <row r="18" spans="1:18" ht="19.5" thickBot="1" x14ac:dyDescent="0.3">
      <c r="A18" s="1"/>
      <c r="B18" s="67"/>
      <c r="C18" s="68"/>
      <c r="D18" s="69"/>
      <c r="E18" s="70"/>
      <c r="F18" s="71"/>
      <c r="G18" s="72"/>
      <c r="H18" s="71"/>
      <c r="I18" s="72"/>
      <c r="J18" s="71"/>
      <c r="K18" s="72"/>
      <c r="L18" s="72"/>
      <c r="M18" s="57" t="s">
        <v>5</v>
      </c>
      <c r="N18" s="58"/>
      <c r="O18" s="58"/>
      <c r="P18" s="41">
        <f>SUM(P10:P17)</f>
        <v>4.7356000000000007</v>
      </c>
      <c r="Q18" s="73"/>
      <c r="R18" s="74"/>
    </row>
  </sheetData>
  <mergeCells count="4">
    <mergeCell ref="K1:R1"/>
    <mergeCell ref="R3:R8"/>
    <mergeCell ref="M18:O18"/>
    <mergeCell ref="Q18:R18"/>
  </mergeCells>
  <hyperlinks>
    <hyperlink ref="N17" r:id="rId1"/>
    <hyperlink ref="N16" r:id="rId2"/>
    <hyperlink ref="N15" r:id="rId3"/>
    <hyperlink ref="N14" r:id="rId4"/>
    <hyperlink ref="N13" r:id="rId5"/>
    <hyperlink ref="N12" r:id="rId6"/>
    <hyperlink ref="N11" r:id="rId7"/>
    <hyperlink ref="N10" r:id="rId8"/>
  </hyperlinks>
  <pageMargins left="0.7" right="0.7" top="0.75" bottom="0.75" header="0.3" footer="0.3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19"/>
  <sheetViews>
    <sheetView tabSelected="1" workbookViewId="0">
      <selection activeCell="E25" sqref="E25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25.28515625" bestFit="1" customWidth="1"/>
    <col min="8" max="8" width="17.425781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5.42578125" bestFit="1" customWidth="1"/>
    <col min="16" max="16" width="18.28515625" bestFit="1" customWidth="1"/>
    <col min="17" max="17" width="18.85546875" bestFit="1" customWidth="1"/>
    <col min="18" max="18" width="16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51"/>
      <c r="L1" s="51"/>
      <c r="M1" s="51"/>
      <c r="N1" s="51"/>
      <c r="O1" s="51"/>
      <c r="P1" s="51"/>
      <c r="Q1" s="51"/>
      <c r="R1" s="51"/>
      <c r="S1" s="52"/>
    </row>
    <row r="2" spans="1:19" ht="32.25" thickBot="1" x14ac:dyDescent="0.3">
      <c r="A2" s="1"/>
      <c r="B2" s="21"/>
      <c r="C2" s="31"/>
      <c r="D2" s="11" t="s">
        <v>0</v>
      </c>
      <c r="E2" s="11"/>
      <c r="F2" s="46" t="s">
        <v>69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47" t="s">
        <v>70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53"/>
    </row>
    <row r="4" spans="1:19" x14ac:dyDescent="0.25">
      <c r="A4" s="1"/>
      <c r="B4" s="22"/>
      <c r="C4" s="32"/>
      <c r="D4" s="13" t="s">
        <v>2</v>
      </c>
      <c r="E4" s="13"/>
      <c r="F4" s="48" t="s">
        <v>70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54"/>
    </row>
    <row r="5" spans="1:19" x14ac:dyDescent="0.25">
      <c r="A5" s="1"/>
      <c r="B5" s="22"/>
      <c r="C5" s="32"/>
      <c r="D5" s="13" t="s">
        <v>3</v>
      </c>
      <c r="E5" s="13"/>
      <c r="F5" s="49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54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54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54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54"/>
    </row>
    <row r="9" spans="1:19" ht="15.75" thickBot="1" x14ac:dyDescent="0.3">
      <c r="A9" s="1"/>
      <c r="B9" s="30" t="s">
        <v>4</v>
      </c>
      <c r="C9" s="30" t="s">
        <v>8</v>
      </c>
      <c r="D9" s="30" t="s">
        <v>16</v>
      </c>
      <c r="E9" s="30" t="s">
        <v>25</v>
      </c>
      <c r="F9" s="30" t="s">
        <v>34</v>
      </c>
      <c r="G9" s="30" t="s">
        <v>42</v>
      </c>
      <c r="H9" s="30" t="s">
        <v>48</v>
      </c>
      <c r="I9" s="30" t="s">
        <v>73</v>
      </c>
      <c r="J9" s="30" t="s">
        <v>56</v>
      </c>
      <c r="K9" s="30" t="s">
        <v>71</v>
      </c>
      <c r="L9" s="30" t="s">
        <v>68</v>
      </c>
      <c r="M9" s="30" t="s">
        <v>74</v>
      </c>
      <c r="N9" s="30" t="s">
        <v>75</v>
      </c>
      <c r="O9" s="30" t="s">
        <v>76</v>
      </c>
      <c r="P9" s="30" t="s">
        <v>77</v>
      </c>
      <c r="Q9" s="30" t="s">
        <v>78</v>
      </c>
      <c r="R9" s="30" t="s">
        <v>79</v>
      </c>
      <c r="S9" s="30" t="s">
        <v>80</v>
      </c>
    </row>
    <row r="10" spans="1:19" x14ac:dyDescent="0.25">
      <c r="A10" s="1"/>
      <c r="B10" s="39">
        <f>ROW(B10) - ROW($B$9)</f>
        <v>1</v>
      </c>
      <c r="C10" s="59" t="s">
        <v>9</v>
      </c>
      <c r="D10" s="37" t="s">
        <v>17</v>
      </c>
      <c r="E10" s="37" t="s">
        <v>26</v>
      </c>
      <c r="F10" s="37" t="s">
        <v>35</v>
      </c>
      <c r="G10" s="37" t="s">
        <v>43</v>
      </c>
      <c r="H10" s="37" t="s">
        <v>49</v>
      </c>
      <c r="I10" s="37" t="s">
        <v>72</v>
      </c>
      <c r="J10" s="37" t="s">
        <v>57</v>
      </c>
      <c r="K10" s="37" t="s">
        <v>65</v>
      </c>
      <c r="L10" s="37">
        <v>4</v>
      </c>
      <c r="M10" s="37">
        <f>L10*5</f>
        <v>20</v>
      </c>
      <c r="N10" s="37">
        <v>50</v>
      </c>
      <c r="O10" s="61" t="s">
        <v>82</v>
      </c>
      <c r="P10" s="38">
        <v>1.61E-2</v>
      </c>
      <c r="Q10" s="38">
        <f>P10*N10</f>
        <v>0.80499999999999994</v>
      </c>
      <c r="R10" s="37"/>
      <c r="S10" s="43"/>
    </row>
    <row r="11" spans="1:19" x14ac:dyDescent="0.25">
      <c r="A11" s="1"/>
      <c r="B11" s="40">
        <f t="shared" ref="B11:B17" si="0">ROW(B11) - ROW($B$9)</f>
        <v>2</v>
      </c>
      <c r="C11" s="60" t="s">
        <v>9</v>
      </c>
      <c r="D11" s="44" t="s">
        <v>18</v>
      </c>
      <c r="E11" s="44" t="s">
        <v>27</v>
      </c>
      <c r="F11" s="44" t="s">
        <v>35</v>
      </c>
      <c r="G11" s="44" t="s">
        <v>44</v>
      </c>
      <c r="H11" s="44" t="s">
        <v>50</v>
      </c>
      <c r="I11" s="44" t="s">
        <v>72</v>
      </c>
      <c r="J11" s="44" t="s">
        <v>58</v>
      </c>
      <c r="K11" s="44" t="s">
        <v>66</v>
      </c>
      <c r="L11" s="44">
        <v>1</v>
      </c>
      <c r="M11" s="44">
        <f t="shared" ref="M11" si="1">L11*5</f>
        <v>5</v>
      </c>
      <c r="N11" s="44">
        <v>100</v>
      </c>
      <c r="O11" s="62" t="s">
        <v>82</v>
      </c>
      <c r="P11" s="45">
        <v>1.8E-3</v>
      </c>
      <c r="Q11" s="45">
        <f t="shared" ref="Q11" si="2">P11*N11</f>
        <v>0.18</v>
      </c>
      <c r="R11" s="44"/>
      <c r="S11" s="44"/>
    </row>
    <row r="12" spans="1:19" x14ac:dyDescent="0.25">
      <c r="A12" s="1"/>
      <c r="B12" s="39">
        <f>ROW(B12) - ROW($B$9)</f>
        <v>3</v>
      </c>
      <c r="C12" s="59" t="s">
        <v>10</v>
      </c>
      <c r="D12" s="37" t="s">
        <v>19</v>
      </c>
      <c r="E12" s="37" t="s">
        <v>28</v>
      </c>
      <c r="F12" s="37" t="s">
        <v>36</v>
      </c>
      <c r="G12" s="37" t="s">
        <v>45</v>
      </c>
      <c r="H12" s="37" t="s">
        <v>51</v>
      </c>
      <c r="I12" s="37" t="s">
        <v>72</v>
      </c>
      <c r="J12" s="37" t="s">
        <v>59</v>
      </c>
      <c r="K12" s="37" t="s">
        <v>72</v>
      </c>
      <c r="L12" s="37">
        <v>1</v>
      </c>
      <c r="M12" s="37">
        <f>L12*5</f>
        <v>5</v>
      </c>
      <c r="N12" s="37">
        <v>10</v>
      </c>
      <c r="O12" s="61" t="s">
        <v>82</v>
      </c>
      <c r="P12" s="38">
        <v>6.6000000000000003E-2</v>
      </c>
      <c r="Q12" s="38">
        <f>P12*N12</f>
        <v>0.66</v>
      </c>
      <c r="R12" s="37"/>
      <c r="S12" s="50"/>
    </row>
    <row r="13" spans="1:19" ht="24" x14ac:dyDescent="0.25">
      <c r="A13" s="1"/>
      <c r="B13" s="40">
        <f t="shared" si="0"/>
        <v>4</v>
      </c>
      <c r="C13" s="60" t="s">
        <v>11</v>
      </c>
      <c r="D13" s="44" t="s">
        <v>20</v>
      </c>
      <c r="E13" s="44" t="s">
        <v>29</v>
      </c>
      <c r="F13" s="44" t="s">
        <v>37</v>
      </c>
      <c r="G13" s="44" t="s">
        <v>46</v>
      </c>
      <c r="H13" s="44" t="s">
        <v>52</v>
      </c>
      <c r="I13" s="44" t="s">
        <v>72</v>
      </c>
      <c r="J13" s="44" t="s">
        <v>60</v>
      </c>
      <c r="K13" s="44" t="s">
        <v>72</v>
      </c>
      <c r="L13" s="44">
        <v>1</v>
      </c>
      <c r="M13" s="44">
        <f t="shared" ref="M13" si="3">L13*5</f>
        <v>5</v>
      </c>
      <c r="N13" s="44">
        <v>10</v>
      </c>
      <c r="O13" s="62" t="s">
        <v>82</v>
      </c>
      <c r="P13" s="45">
        <v>9.8199999999999996E-2</v>
      </c>
      <c r="Q13" s="45">
        <f t="shared" ref="Q13" si="4">P13*N13</f>
        <v>0.98199999999999998</v>
      </c>
      <c r="R13" s="44"/>
      <c r="S13" s="50"/>
    </row>
    <row r="14" spans="1:19" ht="48" x14ac:dyDescent="0.25">
      <c r="A14" s="1"/>
      <c r="B14" s="39">
        <f>ROW(B14) - ROW($B$9)</f>
        <v>5</v>
      </c>
      <c r="C14" s="59" t="s">
        <v>12</v>
      </c>
      <c r="D14" s="37" t="s">
        <v>21</v>
      </c>
      <c r="E14" s="37" t="s">
        <v>30</v>
      </c>
      <c r="F14" s="37" t="s">
        <v>81</v>
      </c>
      <c r="G14" s="37" t="s">
        <v>38</v>
      </c>
      <c r="H14" s="37" t="s">
        <v>53</v>
      </c>
      <c r="I14" s="37" t="s">
        <v>72</v>
      </c>
      <c r="J14" s="37" t="s">
        <v>61</v>
      </c>
      <c r="K14" s="37" t="s">
        <v>72</v>
      </c>
      <c r="L14" s="37">
        <v>1</v>
      </c>
      <c r="M14" s="37">
        <f>L14*5</f>
        <v>5</v>
      </c>
      <c r="N14" s="37">
        <v>10</v>
      </c>
      <c r="O14" s="61" t="s">
        <v>82</v>
      </c>
      <c r="P14" s="38">
        <v>3.8199999999999998E-2</v>
      </c>
      <c r="Q14" s="38">
        <f>P14*N14</f>
        <v>0.38200000000000001</v>
      </c>
      <c r="R14" s="37"/>
      <c r="S14" s="50"/>
    </row>
    <row r="15" spans="1:19" ht="24" x14ac:dyDescent="0.25">
      <c r="A15" s="1"/>
      <c r="B15" s="40">
        <f t="shared" si="0"/>
        <v>6</v>
      </c>
      <c r="C15" s="60" t="s">
        <v>13</v>
      </c>
      <c r="D15" s="44" t="s">
        <v>22</v>
      </c>
      <c r="E15" s="44" t="s">
        <v>31</v>
      </c>
      <c r="F15" s="44" t="s">
        <v>81</v>
      </c>
      <c r="G15" s="44" t="s">
        <v>39</v>
      </c>
      <c r="H15" s="44" t="s">
        <v>54</v>
      </c>
      <c r="I15" s="44" t="s">
        <v>72</v>
      </c>
      <c r="J15" s="44" t="s">
        <v>62</v>
      </c>
      <c r="K15" s="44" t="s">
        <v>72</v>
      </c>
      <c r="L15" s="44">
        <v>1</v>
      </c>
      <c r="M15" s="44">
        <f t="shared" ref="M15" si="5">L15*5</f>
        <v>5</v>
      </c>
      <c r="N15" s="44">
        <v>6</v>
      </c>
      <c r="O15" s="62" t="s">
        <v>82</v>
      </c>
      <c r="P15" s="45">
        <v>0.55530000000000002</v>
      </c>
      <c r="Q15" s="45">
        <f t="shared" ref="Q15" si="6">P15*N15</f>
        <v>3.3318000000000003</v>
      </c>
      <c r="R15" s="44"/>
      <c r="S15" s="50"/>
    </row>
    <row r="16" spans="1:19" x14ac:dyDescent="0.25">
      <c r="A16" s="1"/>
      <c r="B16" s="39">
        <f>ROW(B16) - ROW($B$9)</f>
        <v>7</v>
      </c>
      <c r="C16" s="59" t="s">
        <v>14</v>
      </c>
      <c r="D16" s="37" t="s">
        <v>23</v>
      </c>
      <c r="E16" s="37" t="s">
        <v>32</v>
      </c>
      <c r="F16" s="37" t="s">
        <v>40</v>
      </c>
      <c r="G16" s="37" t="s">
        <v>47</v>
      </c>
      <c r="H16" s="37" t="s">
        <v>50</v>
      </c>
      <c r="I16" s="37" t="s">
        <v>72</v>
      </c>
      <c r="J16" s="37" t="s">
        <v>63</v>
      </c>
      <c r="K16" s="37" t="s">
        <v>67</v>
      </c>
      <c r="L16" s="37">
        <v>2</v>
      </c>
      <c r="M16" s="37">
        <f>L16*5</f>
        <v>10</v>
      </c>
      <c r="N16" s="37">
        <v>100</v>
      </c>
      <c r="O16" s="61" t="s">
        <v>82</v>
      </c>
      <c r="P16" s="38">
        <v>6.9999999999999999E-4</v>
      </c>
      <c r="Q16" s="38">
        <f>P16*N16</f>
        <v>6.9999999999999993E-2</v>
      </c>
      <c r="R16" s="37"/>
      <c r="S16" s="50"/>
    </row>
    <row r="17" spans="1:19" ht="48.75" thickBot="1" x14ac:dyDescent="0.3">
      <c r="A17" s="1"/>
      <c r="B17" s="63">
        <f t="shared" si="0"/>
        <v>8</v>
      </c>
      <c r="C17" s="64" t="s">
        <v>15</v>
      </c>
      <c r="D17" s="50" t="s">
        <v>24</v>
      </c>
      <c r="E17" s="50" t="s">
        <v>33</v>
      </c>
      <c r="F17" s="50" t="s">
        <v>81</v>
      </c>
      <c r="G17" s="50" t="s">
        <v>41</v>
      </c>
      <c r="H17" s="50" t="s">
        <v>55</v>
      </c>
      <c r="I17" s="50" t="s">
        <v>72</v>
      </c>
      <c r="J17" s="50" t="s">
        <v>64</v>
      </c>
      <c r="K17" s="50" t="s">
        <v>72</v>
      </c>
      <c r="L17" s="50">
        <v>1</v>
      </c>
      <c r="M17" s="50">
        <f t="shared" ref="M17" si="7">L17*5</f>
        <v>5</v>
      </c>
      <c r="N17" s="50">
        <v>10</v>
      </c>
      <c r="O17" s="65" t="s">
        <v>82</v>
      </c>
      <c r="P17" s="66">
        <v>5.4600000000000003E-2</v>
      </c>
      <c r="Q17" s="66">
        <f t="shared" ref="Q17" si="8">P17*N17</f>
        <v>0.54600000000000004</v>
      </c>
      <c r="R17" s="50"/>
      <c r="S17" s="50"/>
    </row>
    <row r="18" spans="1:19" ht="19.5" thickBot="1" x14ac:dyDescent="0.3">
      <c r="A18" s="1"/>
      <c r="B18" s="75"/>
      <c r="C18" s="76"/>
      <c r="D18" s="77"/>
      <c r="E18" s="78"/>
      <c r="F18" s="79"/>
      <c r="G18" s="80"/>
      <c r="H18" s="79"/>
      <c r="I18" s="80"/>
      <c r="J18" s="79"/>
      <c r="K18" s="80"/>
      <c r="L18" s="80"/>
      <c r="M18" s="80"/>
      <c r="N18" s="57" t="s">
        <v>5</v>
      </c>
      <c r="O18" s="58"/>
      <c r="P18" s="58"/>
      <c r="Q18" s="41">
        <f>SUM(Q10:Q17)</f>
        <v>6.9568000000000003</v>
      </c>
      <c r="R18" s="81"/>
      <c r="S18" s="82"/>
    </row>
    <row r="19" spans="1:19" ht="19.5" thickBot="1" x14ac:dyDescent="0.3">
      <c r="A19" s="1"/>
      <c r="B19" s="25"/>
      <c r="C19" s="36"/>
      <c r="D19" s="9"/>
      <c r="E19" s="10"/>
      <c r="F19" s="10"/>
      <c r="G19" s="10"/>
      <c r="H19" s="10"/>
      <c r="I19" s="10"/>
      <c r="J19" s="10"/>
      <c r="K19" s="10"/>
      <c r="L19" s="10"/>
      <c r="M19" s="10"/>
      <c r="N19" s="57" t="s">
        <v>6</v>
      </c>
      <c r="O19" s="58"/>
      <c r="P19" s="58"/>
      <c r="Q19" s="42">
        <f>Q18/5</f>
        <v>1.3913600000000002</v>
      </c>
      <c r="R19" s="55"/>
      <c r="S19" s="56"/>
    </row>
  </sheetData>
  <mergeCells count="5">
    <mergeCell ref="K1:S1"/>
    <mergeCell ref="S3:S8"/>
    <mergeCell ref="R18:S19"/>
    <mergeCell ref="N18:P18"/>
    <mergeCell ref="N19:P19"/>
  </mergeCells>
  <hyperlinks>
    <hyperlink ref="O10" r:id="rId1"/>
    <hyperlink ref="O11" r:id="rId2"/>
    <hyperlink ref="O12" r:id="rId3"/>
    <hyperlink ref="O13" r:id="rId4"/>
    <hyperlink ref="O14" r:id="rId5"/>
    <hyperlink ref="O15" r:id="rId6"/>
    <hyperlink ref="O16" r:id="rId7"/>
    <hyperlink ref="O17" r:id="rId8"/>
  </hyperlinks>
  <pageMargins left="0.7" right="0.7" top="0.75" bottom="0.75" header="0.3" footer="0.3"/>
  <pageSetup paperSize="9" orientation="portrait" r:id="rId9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 Board</vt:lpstr>
      <vt:lpstr>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2023-02-13T10:48:30Z</dcterms:modified>
</cp:coreProperties>
</file>