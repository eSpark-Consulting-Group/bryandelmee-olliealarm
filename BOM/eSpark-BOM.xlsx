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delmee-olliealarm\BOM\"/>
    </mc:Choice>
  </mc:AlternateContent>
  <bookViews>
    <workbookView xWindow="28680" yWindow="-120" windowWidth="29040" windowHeight="15840"/>
  </bookViews>
  <sheets>
    <sheet name="1 Board" sheetId="2" r:id="rId1"/>
    <sheet name="5 Boards" sheetId="1" r:id="rId2"/>
  </sheets>
  <calcPr calcId="162913"/>
</workbook>
</file>

<file path=xl/calcChain.xml><?xml version="1.0" encoding="utf-8"?>
<calcChain xmlns="http://schemas.openxmlformats.org/spreadsheetml/2006/main">
  <c r="P16" i="2" l="1"/>
  <c r="Q67" i="1" l="1"/>
  <c r="M64" i="1"/>
  <c r="M65" i="1"/>
  <c r="M66" i="1"/>
  <c r="M67" i="1"/>
  <c r="B67" i="1"/>
  <c r="B66" i="2"/>
  <c r="B67" i="2"/>
  <c r="P67" i="2"/>
  <c r="B64" i="1"/>
  <c r="B65" i="1"/>
  <c r="B66" i="1"/>
  <c r="B64" i="2"/>
  <c r="B65" i="2"/>
  <c r="Q11" i="1" l="1"/>
  <c r="Q12" i="1"/>
  <c r="Q13" i="1"/>
  <c r="Q14" i="1"/>
  <c r="Q15" i="1"/>
  <c r="Q68" i="1" s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10" i="1"/>
  <c r="P51" i="2"/>
  <c r="P25" i="2"/>
  <c r="B51" i="2"/>
  <c r="B25" i="2"/>
  <c r="P63" i="2" l="1"/>
  <c r="B63" i="2"/>
  <c r="P62" i="2"/>
  <c r="B62" i="2"/>
  <c r="P61" i="2"/>
  <c r="B61" i="2"/>
  <c r="P60" i="2"/>
  <c r="B60" i="2"/>
  <c r="P59" i="2"/>
  <c r="B59" i="2"/>
  <c r="P58" i="2"/>
  <c r="B58" i="2"/>
  <c r="P57" i="2"/>
  <c r="B57" i="2"/>
  <c r="P56" i="2"/>
  <c r="B56" i="2"/>
  <c r="P55" i="2"/>
  <c r="B55" i="2"/>
  <c r="P54" i="2"/>
  <c r="B54" i="2"/>
  <c r="P53" i="2"/>
  <c r="B53" i="2"/>
  <c r="P52" i="2"/>
  <c r="B52" i="2"/>
  <c r="P50" i="2"/>
  <c r="B50" i="2"/>
  <c r="B49" i="2"/>
  <c r="P48" i="2"/>
  <c r="B48" i="2"/>
  <c r="P47" i="2"/>
  <c r="B47" i="2"/>
  <c r="P46" i="2"/>
  <c r="B46" i="2"/>
  <c r="P45" i="2"/>
  <c r="B45" i="2"/>
  <c r="P44" i="2"/>
  <c r="B44" i="2"/>
  <c r="P43" i="2"/>
  <c r="B43" i="2"/>
  <c r="P42" i="2"/>
  <c r="B42" i="2"/>
  <c r="P41" i="2"/>
  <c r="B41" i="2"/>
  <c r="P40" i="2"/>
  <c r="B40" i="2"/>
  <c r="P39" i="2"/>
  <c r="B39" i="2"/>
  <c r="P38" i="2"/>
  <c r="B38" i="2"/>
  <c r="P37" i="2"/>
  <c r="B37" i="2"/>
  <c r="P36" i="2"/>
  <c r="B36" i="2"/>
  <c r="P35" i="2"/>
  <c r="B35" i="2"/>
  <c r="B34" i="2"/>
  <c r="P33" i="2"/>
  <c r="B33" i="2"/>
  <c r="P32" i="2"/>
  <c r="B32" i="2"/>
  <c r="P31" i="2"/>
  <c r="B31" i="2"/>
  <c r="B30" i="2"/>
  <c r="P29" i="2"/>
  <c r="B29" i="2"/>
  <c r="B28" i="2"/>
  <c r="P27" i="2"/>
  <c r="B27" i="2"/>
  <c r="P26" i="2"/>
  <c r="B26" i="2"/>
  <c r="P24" i="2"/>
  <c r="B24" i="2"/>
  <c r="P23" i="2"/>
  <c r="B23" i="2"/>
  <c r="P22" i="2"/>
  <c r="B22" i="2"/>
  <c r="P21" i="2"/>
  <c r="B21" i="2"/>
  <c r="P20" i="2"/>
  <c r="B20" i="2"/>
  <c r="P19" i="2"/>
  <c r="B19" i="2"/>
  <c r="P18" i="2"/>
  <c r="B18" i="2"/>
  <c r="P17" i="2"/>
  <c r="B17" i="2"/>
  <c r="B16" i="2"/>
  <c r="P15" i="2"/>
  <c r="B15" i="2"/>
  <c r="P14" i="2"/>
  <c r="B14" i="2"/>
  <c r="P13" i="2"/>
  <c r="B13" i="2"/>
  <c r="P12" i="2"/>
  <c r="B12" i="2"/>
  <c r="P11" i="2"/>
  <c r="B11" i="2"/>
  <c r="P10" i="2"/>
  <c r="B10" i="2"/>
  <c r="P68" i="2" l="1"/>
  <c r="M63" i="1"/>
  <c r="B63" i="1"/>
  <c r="M62" i="1"/>
  <c r="B62" i="1"/>
  <c r="M56" i="1"/>
  <c r="B56" i="1"/>
  <c r="M61" i="1"/>
  <c r="B61" i="1"/>
  <c r="M60" i="1"/>
  <c r="B60" i="1"/>
  <c r="M59" i="1"/>
  <c r="B59" i="1"/>
  <c r="M58" i="1"/>
  <c r="B58" i="1"/>
  <c r="M57" i="1"/>
  <c r="B57" i="1"/>
  <c r="M55" i="1"/>
  <c r="B55" i="1"/>
  <c r="M54" i="1"/>
  <c r="B54" i="1"/>
  <c r="M53" i="1"/>
  <c r="B53" i="1"/>
  <c r="M52" i="1"/>
  <c r="B52" i="1"/>
  <c r="M51" i="1"/>
  <c r="B51" i="1"/>
  <c r="M50" i="1"/>
  <c r="B50" i="1"/>
  <c r="M49" i="1"/>
  <c r="B49" i="1"/>
  <c r="M48" i="1"/>
  <c r="B48" i="1"/>
  <c r="M47" i="1"/>
  <c r="B47" i="1"/>
  <c r="M46" i="1"/>
  <c r="B46" i="1"/>
  <c r="M45" i="1"/>
  <c r="B45" i="1"/>
  <c r="M44" i="1"/>
  <c r="B44" i="1"/>
  <c r="M43" i="1"/>
  <c r="B43" i="1"/>
  <c r="M42" i="1"/>
  <c r="B42" i="1"/>
  <c r="M41" i="1"/>
  <c r="B41" i="1"/>
  <c r="M40" i="1"/>
  <c r="B40" i="1"/>
  <c r="M39" i="1"/>
  <c r="B39" i="1"/>
  <c r="M38" i="1"/>
  <c r="B38" i="1"/>
  <c r="M37" i="1"/>
  <c r="B37" i="1"/>
  <c r="M36" i="1"/>
  <c r="B36" i="1"/>
  <c r="M35" i="1"/>
  <c r="B35" i="1"/>
  <c r="M34" i="1"/>
  <c r="B34" i="1"/>
  <c r="M33" i="1"/>
  <c r="B33" i="1"/>
  <c r="M32" i="1"/>
  <c r="B32" i="1"/>
  <c r="M31" i="1"/>
  <c r="B31" i="1"/>
  <c r="M30" i="1"/>
  <c r="B30" i="1"/>
  <c r="M29" i="1"/>
  <c r="B29" i="1"/>
  <c r="M28" i="1"/>
  <c r="B28" i="1"/>
  <c r="M27" i="1"/>
  <c r="B27" i="1"/>
  <c r="M26" i="1"/>
  <c r="B26" i="1"/>
  <c r="M25" i="1"/>
  <c r="B25" i="1"/>
  <c r="M24" i="1"/>
  <c r="B24" i="1"/>
  <c r="M23" i="1"/>
  <c r="B23" i="1"/>
  <c r="M22" i="1"/>
  <c r="B22" i="1"/>
  <c r="M21" i="1"/>
  <c r="B21" i="1"/>
  <c r="M20" i="1"/>
  <c r="B20" i="1"/>
  <c r="M19" i="1"/>
  <c r="B19" i="1"/>
  <c r="M18" i="1"/>
  <c r="B18" i="1"/>
  <c r="M17" i="1"/>
  <c r="B17" i="1"/>
  <c r="M16" i="1"/>
  <c r="B16" i="1"/>
  <c r="M15" i="1"/>
  <c r="B15" i="1"/>
  <c r="M14" i="1"/>
  <c r="B14" i="1"/>
  <c r="M13" i="1"/>
  <c r="B13" i="1"/>
  <c r="M12" i="1"/>
  <c r="B12" i="1"/>
  <c r="M11" i="1" l="1"/>
  <c r="M10" i="1"/>
  <c r="B11" i="1"/>
  <c r="B10" i="1"/>
  <c r="Q69" i="1" l="1"/>
</calcChain>
</file>

<file path=xl/sharedStrings.xml><?xml version="1.0" encoding="utf-8"?>
<sst xmlns="http://schemas.openxmlformats.org/spreadsheetml/2006/main" count="1245" uniqueCount="350">
  <si>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</si>
  <si>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</si>
  <si>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</si>
  <si>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</si>
  <si>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</si>
  <si>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</si>
  <si>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</si>
  <si>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</si>
  <si>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</si>
  <si>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</si>
  <si>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</si>
  <si>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Ferrite Bead</t>
  </si>
  <si>
    <t>Inductor</t>
  </si>
  <si>
    <t>JST Connector</t>
  </si>
  <si>
    <t>SD Card Connector</t>
  </si>
  <si>
    <t>TEST POINT</t>
  </si>
  <si>
    <t>Mosfet</t>
  </si>
  <si>
    <t>Resistor</t>
  </si>
  <si>
    <t>Switch</t>
  </si>
  <si>
    <t>IC</t>
  </si>
  <si>
    <t>Module</t>
  </si>
  <si>
    <t>Designator</t>
  </si>
  <si>
    <t>C2, C13</t>
  </si>
  <si>
    <t>C3, C4, C6, C7, C8, C10, C12, C16, C32, C33, C34, C35, C53, C57</t>
  </si>
  <si>
    <t>C5</t>
  </si>
  <si>
    <t>C14, C52</t>
  </si>
  <si>
    <t>C18, C23</t>
  </si>
  <si>
    <t>C24, C30, C38, C44, C46, C48</t>
  </si>
  <si>
    <t>C27, C28, C29</t>
  </si>
  <si>
    <t>C36</t>
  </si>
  <si>
    <t>C50, C51</t>
  </si>
  <si>
    <t>C55, C56</t>
  </si>
  <si>
    <t>C58</t>
  </si>
  <si>
    <t>D2</t>
  </si>
  <si>
    <t>D3</t>
  </si>
  <si>
    <t>FB1, FB2</t>
  </si>
  <si>
    <t>FB3</t>
  </si>
  <si>
    <t>J1</t>
  </si>
  <si>
    <t>J3</t>
  </si>
  <si>
    <t>J4</t>
  </si>
  <si>
    <t>L1</t>
  </si>
  <si>
    <t>P1, P2, P3, P4, P5, P6, P7, P8, P9, P10, P11, P12, P13</t>
  </si>
  <si>
    <t>Q1</t>
  </si>
  <si>
    <t>Q2</t>
  </si>
  <si>
    <t>R4, R22, R23</t>
  </si>
  <si>
    <t>R5</t>
  </si>
  <si>
    <t>R11, R12</t>
  </si>
  <si>
    <t>R16</t>
  </si>
  <si>
    <t>R17, R18, R19, R20, R21</t>
  </si>
  <si>
    <t>R24, R30</t>
  </si>
  <si>
    <t>R25, R33, R36</t>
  </si>
  <si>
    <t>R26, R27</t>
  </si>
  <si>
    <t>R28, R29</t>
  </si>
  <si>
    <t>R34</t>
  </si>
  <si>
    <t>R35</t>
  </si>
  <si>
    <t>U1</t>
  </si>
  <si>
    <t>U2</t>
  </si>
  <si>
    <t>U3</t>
  </si>
  <si>
    <t>U4</t>
  </si>
  <si>
    <t>U5</t>
  </si>
  <si>
    <t>U7</t>
  </si>
  <si>
    <t>U8</t>
  </si>
  <si>
    <t>U9</t>
  </si>
  <si>
    <t>U10</t>
  </si>
  <si>
    <t>U11</t>
  </si>
  <si>
    <t>U12</t>
  </si>
  <si>
    <t>Description</t>
  </si>
  <si>
    <t>CAP CER 10000PF 50V C0G/NPO 0603</t>
  </si>
  <si>
    <t>CAP TANT 100UF 20% 25V 2917</t>
  </si>
  <si>
    <t>CAP CER 1UF 25V X5R 0603</t>
  </si>
  <si>
    <t>CAP CER 0.022UF 50V X7R 0603</t>
  </si>
  <si>
    <t>CAP CER 0.1UF 25V X5R 0402</t>
  </si>
  <si>
    <t>CAP CER 10UF 16V X5R 0603</t>
  </si>
  <si>
    <t>CAP CER 22UF 35V X5R 0805</t>
  </si>
  <si>
    <t>CAP CER 4.7UF 16V X5R 0603</t>
  </si>
  <si>
    <t>CAP CER 33PF 25V C0G/NP0 0402</t>
  </si>
  <si>
    <t>CAP CER 10UF 10V X5R 0603</t>
  </si>
  <si>
    <t>CAP CER 330PF 50V C0G/NPO 0603</t>
  </si>
  <si>
    <t>CAP CER 0.015UF 50V X7R 0603</t>
  </si>
  <si>
    <t>CAP CER 8.2nF 50V X7R 10% 0603</t>
  </si>
  <si>
    <t>16A 20V 7V 5V@Max Unidirectional SOT-23 TVS ROHS</t>
  </si>
  <si>
    <t>40V 550mV@2A 2A SOD-123FL Schottky Barrier Diodes (SBD) ROHS</t>
  </si>
  <si>
    <t>FERRITE BEAD 120 OHM 0603 1LN</t>
  </si>
  <si>
    <t>0603 180Ω ±25% DCR=0.09Ω 1.5A</t>
  </si>
  <si>
    <t>CONN MICRO SD CARD PUSH-PUSH R/A</t>
  </si>
  <si>
    <t>CONN FFC TOP 40POS 0.50MM R/A</t>
  </si>
  <si>
    <t>FIXED IND 2.2UH 2A 158 MOHM SMD</t>
  </si>
  <si>
    <t>Test Point ON</t>
  </si>
  <si>
    <t>30V 4.1A 60mΩ@10V,4.1A 350mW 3V@250uA P Channel SOT-23 MOSFETs ROHS</t>
  </si>
  <si>
    <t>TRANS NPN 40V 0.6A SMD SOT23-3</t>
  </si>
  <si>
    <t>RES SMD 10K Ohm 1% 1/10W 0603</t>
  </si>
  <si>
    <t>RES 0 OHM JUMPER 1/10W 0603</t>
  </si>
  <si>
    <t>RES SMD 4.7K OHM 5% 1/10W 0603</t>
  </si>
  <si>
    <t>RES 22 OHM 1% 1/10W 0603</t>
  </si>
  <si>
    <t>RES SMD 10 OHM 1% 1/10W 0603</t>
  </si>
  <si>
    <t>RES SMD 1K OHM 1% 1/10W 0603</t>
  </si>
  <si>
    <t>RES 2.2K OHM 1% 1/10W 0603</t>
  </si>
  <si>
    <t>RES 22.1K OHM 1% 1/10W 0603</t>
  </si>
  <si>
    <t>RES SMD 100K OHM 0.1% 1/10W 0603</t>
  </si>
  <si>
    <t>RES 270K OHM 0.5% 1/10W 0603</t>
  </si>
  <si>
    <t>Solder Bridge ON</t>
  </si>
  <si>
    <t>SWITCH TACTILE SPST-NO 0.05A 12V</t>
  </si>
  <si>
    <t>Power Supply Support Circuit, Fixed, 1 Channel, +3.1V, CMOS, PDSO5</t>
  </si>
  <si>
    <t>IC REG LDO 3.3V 0.3A SOT23-5</t>
  </si>
  <si>
    <t>ESOP-8 Battery Management ICs ROHS</t>
  </si>
  <si>
    <t>OR Controller N+1 ORing Controller N-Channel 2:1 SOT-583</t>
  </si>
  <si>
    <t>TSOT-23-5 Linear Voltage Regulators (LDO) ROHS</t>
  </si>
  <si>
    <t>Straight 1A SPDT 8.7mm 8.6mm 24V 4.5mm Black PCPin 10000 Rectangular columnar -25℃~+70℃ Plugin Slide Switches ROHS</t>
  </si>
  <si>
    <t>SMD MODULE, ESP32-S3R8 WITH 3.3V</t>
  </si>
  <si>
    <t>SOT-23-6 AC-DC Controllers &amp; Regulators ROHS</t>
  </si>
  <si>
    <t>QFN-28-EP(4x4) ADC/DAC - Specialized ROHS</t>
  </si>
  <si>
    <t>SOP-8 Audio Power OpAmps ROHS</t>
  </si>
  <si>
    <t>IC ADC 12BIT SIGMA-DELTA 10VSSOP</t>
  </si>
  <si>
    <t>4 400kHz I²C, SMBus SOIC-8 I/O Expanders ROHS</t>
  </si>
  <si>
    <t>Footprint</t>
  </si>
  <si>
    <t>Cap-0603</t>
  </si>
  <si>
    <t>Case-E</t>
  </si>
  <si>
    <t>Cap-0402</t>
  </si>
  <si>
    <t>Cap-0805</t>
  </si>
  <si>
    <t>Sot-23</t>
  </si>
  <si>
    <t>SOD-123FL</t>
  </si>
  <si>
    <t>IND-0603 (1608 Metric)</t>
  </si>
  <si>
    <t>DM3BT-DSF-PEJS</t>
  </si>
  <si>
    <t>FH12A-40S-0.5SH(55)</t>
  </si>
  <si>
    <t>IHHP0806AZER2R2M01</t>
  </si>
  <si>
    <t>SOT-23</t>
  </si>
  <si>
    <t>Res-0603</t>
  </si>
  <si>
    <t>Solder Bridge</t>
  </si>
  <si>
    <t>B3U-1000P</t>
  </si>
  <si>
    <t>SSOP-5-1.6mm</t>
  </si>
  <si>
    <t>SOT-23-5</t>
  </si>
  <si>
    <t>ESOP-8</t>
  </si>
  <si>
    <t>SOT-583</t>
  </si>
  <si>
    <t>TSOT-23-5</t>
  </si>
  <si>
    <t>SS-12D02-G040</t>
  </si>
  <si>
    <t>41-SMD Module</t>
  </si>
  <si>
    <t>SOT-23-6</t>
  </si>
  <si>
    <t>QFN-28-EP(4x4)</t>
  </si>
  <si>
    <t>SOP-8</t>
  </si>
  <si>
    <t>VSSOP-10</t>
  </si>
  <si>
    <t>SOIC-8</t>
  </si>
  <si>
    <t>Manufacturer Part Number</t>
  </si>
  <si>
    <t>CC0603JRNPO9BN103</t>
  </si>
  <si>
    <t>TAJE107M025RNJ</t>
  </si>
  <si>
    <t>CC0603KRX5R8BB105</t>
  </si>
  <si>
    <t>CC0603KRX7R9BB223</t>
  </si>
  <si>
    <t>CC0402KRX5R8BB104</t>
  </si>
  <si>
    <t>CC0603KRX5R7BB106</t>
  </si>
  <si>
    <t>C2012X5R1V226MT000E</t>
  </si>
  <si>
    <t>CC0603KRX5R7BB475</t>
  </si>
  <si>
    <t>GRM1555C1E330JA01D</t>
  </si>
  <si>
    <t>CC0603KRX5R6BB106</t>
  </si>
  <si>
    <t>CC0603JRNPO9BN331</t>
  </si>
  <si>
    <t>CC0603JRX7R9BB153</t>
  </si>
  <si>
    <t>CC0603KRX7R9BB822</t>
  </si>
  <si>
    <t>ESD5302F-3/TR</t>
  </si>
  <si>
    <t>DSK24 K24</t>
  </si>
  <si>
    <t>BLM18SG121TN1D</t>
  </si>
  <si>
    <t>BLM18PG181SN1D</t>
  </si>
  <si>
    <t>AO3407</t>
  </si>
  <si>
    <t>MMBT2222A-7-F</t>
  </si>
  <si>
    <t>RC0603FR-0710KL</t>
  </si>
  <si>
    <t>RC0603JR-070RL</t>
  </si>
  <si>
    <t>RC0603JR-074K7L</t>
  </si>
  <si>
    <t>RC0603FR-0722RL</t>
  </si>
  <si>
    <t>RC0603FR-0710RL</t>
  </si>
  <si>
    <t>RC0603FR-071KL</t>
  </si>
  <si>
    <t>RC0603FR-072K2L</t>
  </si>
  <si>
    <t>RC0603FR-0722K1L</t>
  </si>
  <si>
    <t>RT0603BRD07100KL</t>
  </si>
  <si>
    <t>RC0603DR-07270KL</t>
  </si>
  <si>
    <t>BU4231G-TR</t>
  </si>
  <si>
    <t>RT9193-33GB</t>
  </si>
  <si>
    <t>TP4056-42-ESOP8</t>
  </si>
  <si>
    <t>LM66200DRLR</t>
  </si>
  <si>
    <t>RT9080-33GJ5</t>
  </si>
  <si>
    <t>ESP32-S3-WROOM-1-N16R8</t>
  </si>
  <si>
    <t>LP3320B6F</t>
  </si>
  <si>
    <t>ES8388</t>
  </si>
  <si>
    <t>MIX2052</t>
  </si>
  <si>
    <t>ADS1015IDGSR</t>
  </si>
  <si>
    <t>PCA9536D</t>
  </si>
  <si>
    <t>Manufacturer</t>
  </si>
  <si>
    <t>Yageo</t>
  </si>
  <si>
    <t>Kyocera AVX</t>
  </si>
  <si>
    <t>TDK Corporation</t>
  </si>
  <si>
    <t>Murata</t>
  </si>
  <si>
    <t>WILLSEMI</t>
  </si>
  <si>
    <t>MDD</t>
  </si>
  <si>
    <t>Hirose</t>
  </si>
  <si>
    <t>Vishay Dale</t>
  </si>
  <si>
    <t>Guangdong Hottech</t>
  </si>
  <si>
    <t>Diodes</t>
  </si>
  <si>
    <t>Omron</t>
  </si>
  <si>
    <t>Rohm</t>
  </si>
  <si>
    <t>Richtek</t>
  </si>
  <si>
    <t>TOPPOWER</t>
  </si>
  <si>
    <t>Texas Instruments</t>
  </si>
  <si>
    <t>Richtek Tech</t>
  </si>
  <si>
    <t>G-Switch</t>
  </si>
  <si>
    <t>Espressif Systems</t>
  </si>
  <si>
    <t>LOWPOWER</t>
  </si>
  <si>
    <t>Everest-semi</t>
  </si>
  <si>
    <t>MIXINNO</t>
  </si>
  <si>
    <t>NXP Semicon</t>
  </si>
  <si>
    <t>LCSC Part Number</t>
  </si>
  <si>
    <t>C389113</t>
  </si>
  <si>
    <t>C7230</t>
  </si>
  <si>
    <t>C14664</t>
  </si>
  <si>
    <t>C106222</t>
  </si>
  <si>
    <t>C106256</t>
  </si>
  <si>
    <t>C338080</t>
  </si>
  <si>
    <t>C277476</t>
  </si>
  <si>
    <t>C326057</t>
  </si>
  <si>
    <t>C62784</t>
  </si>
  <si>
    <t>C519550</t>
  </si>
  <si>
    <t>C113812</t>
  </si>
  <si>
    <t>C239643</t>
  </si>
  <si>
    <t>C64890</t>
  </si>
  <si>
    <t>C113030</t>
  </si>
  <si>
    <t>C82850</t>
  </si>
  <si>
    <t>C597972</t>
  </si>
  <si>
    <t>C1330968</t>
  </si>
  <si>
    <t>C181093</t>
  </si>
  <si>
    <t>C94515</t>
  </si>
  <si>
    <t>C98220</t>
  </si>
  <si>
    <t>C105428</t>
  </si>
  <si>
    <t>C107701</t>
  </si>
  <si>
    <t>C109318</t>
  </si>
  <si>
    <t>C22548</t>
  </si>
  <si>
    <t>C114662</t>
  </si>
  <si>
    <t>C137768</t>
  </si>
  <si>
    <t>C122538</t>
  </si>
  <si>
    <t>C724006</t>
  </si>
  <si>
    <t>C231329</t>
  </si>
  <si>
    <t>C253184</t>
  </si>
  <si>
    <t>C16581</t>
  </si>
  <si>
    <t>C3235556</t>
  </si>
  <si>
    <t>C841192</t>
  </si>
  <si>
    <t>C2876023</t>
  </si>
  <si>
    <t>C2913202</t>
  </si>
  <si>
    <t>C387699</t>
  </si>
  <si>
    <t>C365736</t>
  </si>
  <si>
    <t>C427090</t>
  </si>
  <si>
    <t>C193969</t>
  </si>
  <si>
    <t>C129522</t>
  </si>
  <si>
    <t>10nF</t>
  </si>
  <si>
    <t>100uF</t>
  </si>
  <si>
    <t>1uF</t>
  </si>
  <si>
    <t>22nF</t>
  </si>
  <si>
    <t>100nF</t>
  </si>
  <si>
    <t>10uF</t>
  </si>
  <si>
    <t>22uF</t>
  </si>
  <si>
    <t>4.7uF</t>
  </si>
  <si>
    <t>33pF</t>
  </si>
  <si>
    <t>330pF</t>
  </si>
  <si>
    <t>15nF</t>
  </si>
  <si>
    <t>8.2nF</t>
  </si>
  <si>
    <t>10K</t>
  </si>
  <si>
    <t>0R</t>
  </si>
  <si>
    <t>4.7K</t>
  </si>
  <si>
    <t>5.6R</t>
  </si>
  <si>
    <t>22R</t>
  </si>
  <si>
    <t>10R</t>
  </si>
  <si>
    <t>1K</t>
  </si>
  <si>
    <t>2.2K</t>
  </si>
  <si>
    <t>22.1K</t>
  </si>
  <si>
    <t>100K</t>
  </si>
  <si>
    <t>270K</t>
  </si>
  <si>
    <t>Quantity</t>
  </si>
  <si>
    <t>SW6</t>
  </si>
  <si>
    <t>-</t>
  </si>
  <si>
    <t>Custom</t>
  </si>
  <si>
    <t>Test Point</t>
  </si>
  <si>
    <t>Value</t>
  </si>
  <si>
    <t>Alternate Part Number</t>
  </si>
  <si>
    <t>Quantity (5 Boards)</t>
  </si>
  <si>
    <t>MOQ (5 Boards)</t>
  </si>
  <si>
    <t>Links</t>
  </si>
  <si>
    <t>UnitCost (5 Boards)</t>
  </si>
  <si>
    <t>TotalCost (5 Boards)</t>
  </si>
  <si>
    <t>Remarks</t>
  </si>
  <si>
    <t>Reviewer Remarks</t>
  </si>
  <si>
    <t>Bill of Materials for Project [Alarm-Clock-v1.0]</t>
  </si>
  <si>
    <t>Alarm-Clock-v1.0</t>
  </si>
  <si>
    <t>LCSC</t>
  </si>
  <si>
    <t>C506795</t>
  </si>
  <si>
    <t>C95177</t>
  </si>
  <si>
    <t>C1, C41, C43</t>
  </si>
  <si>
    <t>C0105C0G330J250NTZ</t>
  </si>
  <si>
    <t>C881842</t>
  </si>
  <si>
    <t>C15651</t>
  </si>
  <si>
    <t>RES-1206</t>
  </si>
  <si>
    <t>RC1206FR-7W5R6L</t>
  </si>
  <si>
    <t>C137211</t>
  </si>
  <si>
    <t>General Purpose Chip Resistor Thick Film 1206 5.6Ohm 1% Paper T/R</t>
  </si>
  <si>
    <t>LCSC/MOQ</t>
  </si>
  <si>
    <t>UnitCost (1 Boards)</t>
  </si>
  <si>
    <t>TotalCost (1 Boards)</t>
  </si>
  <si>
    <t xml:space="preserve">R9 = DNP that’s why not added in BOM </t>
  </si>
  <si>
    <t>C9, C11, C15, C17, C19, C20, C21, C22, C25, C26, C31, C37, C39, C40, C42, C45, C47, C49, C54, C59, C60, C61</t>
  </si>
  <si>
    <t>D4</t>
  </si>
  <si>
    <t>20V 500mV@3A 3A SMA(DO-214AC) Schottky Barrier Diodes (SBD) ROHS</t>
  </si>
  <si>
    <t>SMA</t>
  </si>
  <si>
    <t>SS32</t>
  </si>
  <si>
    <t>C34897</t>
  </si>
  <si>
    <t>Pogo Connector</t>
  </si>
  <si>
    <t>Pogo Pad 2.5mm 4 Pin</t>
  </si>
  <si>
    <t>POGO Connector 4 Pin</t>
  </si>
  <si>
    <t>J2, J5, J6</t>
  </si>
  <si>
    <t>1x2P 1 1.25mm Male pin 2 -40℃~+85℃ Surface Mount SMD,P=1.25mm Wire To Board / Wire To Wire Connector ROHS</t>
  </si>
  <si>
    <t>1.25-2PWB</t>
  </si>
  <si>
    <t>DEALON</t>
  </si>
  <si>
    <t>C2905009</t>
  </si>
  <si>
    <t>JST Right Angle</t>
  </si>
  <si>
    <t>J7</t>
  </si>
  <si>
    <t>1x5P 1 1.25mm Male pin 5 -25℃~+85℃ Surface Mount SMD,P=1.25mm Wire To Board / Wire To Wire Connector ROHS</t>
  </si>
  <si>
    <t>1.25-5PWB</t>
  </si>
  <si>
    <t>C2905012</t>
  </si>
  <si>
    <t>SB1, SB2, SB3, SB4, SB5,SB6</t>
  </si>
  <si>
    <t>SW1, SW2</t>
  </si>
  <si>
    <t>SW3</t>
  </si>
  <si>
    <t>SPST Black Flat dial, raised type 2.54mm 1 SMD,2.5x6mm DIP Switches ROHS</t>
  </si>
  <si>
    <t>DSIC01LSGET</t>
  </si>
  <si>
    <t>DongGuan</t>
  </si>
  <si>
    <t>C54948</t>
  </si>
  <si>
    <t>FFC Connector</t>
  </si>
  <si>
    <t>RES 1.5K OHM 1% 1/10W 0603</t>
  </si>
  <si>
    <t>RC0603FR-071K5L</t>
  </si>
  <si>
    <t>C114668</t>
  </si>
  <si>
    <t>1.5K</t>
  </si>
  <si>
    <t>R1, R2, R6, R7, R8, R10, R13, R14, R15, R31, R32</t>
  </si>
  <si>
    <t>C431873</t>
  </si>
  <si>
    <t>LCD</t>
  </si>
  <si>
    <t>Battery</t>
  </si>
  <si>
    <t>Terminal Block Cable</t>
  </si>
  <si>
    <t>Dupont Cable/Terminal Block Cable/Electronic Cable ROHS</t>
  </si>
  <si>
    <t>LDR100-157128-150-5P</t>
  </si>
  <si>
    <t xml:space="preserve">DEALON </t>
  </si>
  <si>
    <t>C2998992</t>
  </si>
  <si>
    <t>Speaker</t>
  </si>
  <si>
    <t>This part provide by client.</t>
  </si>
  <si>
    <t>WF12P5R60FTL</t>
  </si>
  <si>
    <t>CL10A106MO8NQNC</t>
  </si>
  <si>
    <t>C92487</t>
  </si>
  <si>
    <t>DNP</t>
  </si>
  <si>
    <t>No NO J pin 50mA 3mm 100MΩ 100000 12V 250gf@±30gf 2.6mm -30℃~+85℃ 0.65mm Black Round Button Brick nogging SPST SMD Tactile Switches ROHS</t>
  </si>
  <si>
    <t>GT-TC025D-H0065-L1</t>
  </si>
  <si>
    <t>C778132</t>
  </si>
  <si>
    <t>Ye Part Design me Change krna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</si>
</sst>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22" fillId="2" borderId="21" xfId="1" applyFill="1" applyBorder="1" applyAlignment="1">
      <alignment horizontal="center" vertical="center" wrapText="1"/>
    </xf>
    <xf numFmtId="165" fontId="18" fillId="2" borderId="21" xfId="0" applyNumberFormat="1" applyFont="1" applyFill="1" applyBorder="1" applyAlignment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4" fillId="2" borderId="17" xfId="0" applyFont="1" applyFill="1" applyBorder="1" applyAlignment="1">
      <alignment horizontal="center" vertical="center" wrapText="1"/>
    </xf>
    <xf numFmtId="165" fontId="0" fillId="0" borderId="0" xfId="0" applyNumberFormat="1"/>
    <xf numFmtId="0" fontId="11" fillId="3" borderId="19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vertical="center"/>
      <protection locked="0"/>
    </xf>
    <xf numFmtId="0" fontId="12" fillId="3" borderId="12" xfId="0" applyFont="1" applyFill="1" applyBorder="1" applyAlignment="1" applyProtection="1">
      <alignment horizontal="left" vertical="center"/>
      <protection locked="0"/>
    </xf>
    <xf numFmtId="0" fontId="0" fillId="3" borderId="12" xfId="0" applyFill="1" applyBorder="1" applyAlignment="1">
      <alignment vertical="center"/>
    </xf>
    <xf numFmtId="0" fontId="0" fillId="3" borderId="12" xfId="0" applyFill="1" applyBorder="1"/>
    <xf numFmtId="166" fontId="18" fillId="2" borderId="16" xfId="0" applyNumberFormat="1" applyFont="1" applyFill="1" applyBorder="1" applyAlignment="1">
      <alignment horizontal="center" vertical="center" wrapText="1"/>
    </xf>
    <xf numFmtId="166" fontId="23" fillId="2" borderId="16" xfId="0" applyNumberFormat="1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166" fontId="18" fillId="2" borderId="22" xfId="0" applyNumberFormat="1" applyFont="1" applyFill="1" applyBorder="1" applyAlignment="1">
      <alignment horizontal="center" vertical="center" wrapText="1"/>
    </xf>
    <xf numFmtId="166" fontId="18" fillId="2" borderId="23" xfId="0" applyNumberFormat="1" applyFont="1" applyFill="1" applyBorder="1" applyAlignment="1">
      <alignment horizontal="center" vertical="center" wrapText="1"/>
    </xf>
    <xf numFmtId="166" fontId="18" fillId="2" borderId="21" xfId="0" applyNumberFormat="1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165" fontId="18" fillId="2" borderId="29" xfId="0" applyNumberFormat="1" applyFont="1" applyFill="1" applyBorder="1" applyAlignment="1">
      <alignment horizontal="center" vertical="center" wrapText="1"/>
    </xf>
    <xf numFmtId="165" fontId="18" fillId="2" borderId="26" xfId="0" applyNumberFormat="1" applyFont="1" applyFill="1" applyBorder="1" applyAlignment="1">
      <alignment horizontal="center" vertical="center" wrapText="1"/>
    </xf>
    <xf numFmtId="165" fontId="23" fillId="2" borderId="29" xfId="0" applyNumberFormat="1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165" fontId="18" fillId="2" borderId="30" xfId="0" applyNumberFormat="1" applyFont="1" applyFill="1" applyBorder="1" applyAlignment="1">
      <alignment horizontal="center" vertical="center" wrapText="1"/>
    </xf>
    <xf numFmtId="165" fontId="18" fillId="2" borderId="24" xfId="0" applyNumberFormat="1" applyFont="1" applyFill="1" applyBorder="1" applyAlignment="1">
      <alignment horizontal="center" vertical="center" wrapText="1"/>
    </xf>
    <xf numFmtId="0" fontId="22" fillId="2" borderId="20" xfId="1" applyFill="1" applyBorder="1" applyAlignment="1">
      <alignment horizontal="center" vertical="center" wrapText="1"/>
    </xf>
    <xf numFmtId="165" fontId="18" fillId="5" borderId="16" xfId="0" applyNumberFormat="1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165" fontId="18" fillId="5" borderId="17" xfId="0" applyNumberFormat="1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2</xdr:row>
      <xdr:rowOff>10417</xdr:rowOff>
    </xdr:from>
    <xdr:to>
      <xdr:col>17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83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Schottky-Barrier-Diodes-SBD_MDD-Microdiode-Electronics-DSK24-K24_C64890.html" TargetMode="External"/><Relationship Id="rId18" Type="http://schemas.openxmlformats.org/officeDocument/2006/relationships/hyperlink" Target="https://www.lcsc.com/product-detail/Inductors-SMD_Vishay-Intertech-IHHP0806AZER2R2M01_C1330968.html" TargetMode="External"/><Relationship Id="rId26" Type="http://schemas.openxmlformats.org/officeDocument/2006/relationships/hyperlink" Target="https://www.lcsc.com/product-detail/Chip-Resistor-Surface-Mount_YAGEO-RC0603FR-071KL_C22548.html" TargetMode="External"/><Relationship Id="rId39" Type="http://schemas.openxmlformats.org/officeDocument/2006/relationships/hyperlink" Target="https://www.lcsc.com/product-detail/Audio-Power-OpAmps_MIXINNO-MIX2052_C427090.html" TargetMode="External"/><Relationship Id="rId21" Type="http://schemas.openxmlformats.org/officeDocument/2006/relationships/hyperlink" Target="https://www.lcsc.com/product-detail/Chip-Resistor-Surface-Mount_YAGEO-RC0603FR-0710KL_C98220.html" TargetMode="External"/><Relationship Id="rId34" Type="http://schemas.openxmlformats.org/officeDocument/2006/relationships/hyperlink" Target="https://www.lcsc.com/product-detail/Power-Distribution-Switches_Texas-Instruments-LM66200DRLR_C3235556.html" TargetMode="External"/><Relationship Id="rId42" Type="http://schemas.openxmlformats.org/officeDocument/2006/relationships/hyperlink" Target="https://www.lcsc.com/product-detail/Multilayer-Ceramic-Capacitors-MLCC-SMD-SMT_EYANG-Shenzhen-Eyang-Tech-Development-C0105C0G330J250NTZ_C881842.html" TargetMode="External"/><Relationship Id="rId47" Type="http://schemas.openxmlformats.org/officeDocument/2006/relationships/hyperlink" Target="https://www.lcsc.com/product-detail/Wire-To-Board-Wire-To-Wire-Connector_DEALON-1-25-5PWB_C2905012.html" TargetMode="External"/><Relationship Id="rId50" Type="http://schemas.openxmlformats.org/officeDocument/2006/relationships/hyperlink" Target="https://www.lcsc.com/product-detail/Dupont-Cable-Terminal-Block-Cable-Electronic-Cable_DEALON-LDR100-157128-150-5P_C2998992.html" TargetMode="External"/><Relationship Id="rId7" Type="http://schemas.openxmlformats.org/officeDocument/2006/relationships/hyperlink" Target="https://www.lcsc.com/product-detail/Multilayer-Ceramic-Capacitors-MLCC-SMD-SMT_YAGEO-CC0603KRX5R7BB475_C277476.html" TargetMode="External"/><Relationship Id="rId2" Type="http://schemas.openxmlformats.org/officeDocument/2006/relationships/hyperlink" Target="https://www.lcsc.com/product-detail/Tantalum-Capacitors_Kyocera-AVX-TAJE107M025RNJ_C7230.html" TargetMode="External"/><Relationship Id="rId16" Type="http://schemas.openxmlformats.org/officeDocument/2006/relationships/hyperlink" Target="https://www.lcsc.com/product-detail/SD-Card-Connectors_HRS-Hirose-DM3BT-DSF-PEJS_C597972.html" TargetMode="External"/><Relationship Id="rId29" Type="http://schemas.openxmlformats.org/officeDocument/2006/relationships/hyperlink" Target="https://www.lcsc.com/product-detail/Chip-Resistor-Surface-Mount_YAGEO-RT0603BRD07100KL_C122538.html" TargetMode="External"/><Relationship Id="rId11" Type="http://schemas.openxmlformats.org/officeDocument/2006/relationships/hyperlink" Target="https://www.lcsc.com/product-detail/Multilayer-Ceramic-Capacitors-MLCC-SMD-SMT_YAGEO-CC0603KRX7R9BB822_C113812.html" TargetMode="External"/><Relationship Id="rId24" Type="http://schemas.openxmlformats.org/officeDocument/2006/relationships/hyperlink" Target="https://www.lcsc.com/product-detail/Chip-Resistor-Surface-Mount_YAGEO-RC0603FR-0722RL_C107701.html" TargetMode="External"/><Relationship Id="rId32" Type="http://schemas.openxmlformats.org/officeDocument/2006/relationships/hyperlink" Target="https://www.lcsc.com/product-detail/Monitors-Reset-Circuits_ROHM-Semicon-BU4231G-TR_C253184.html" TargetMode="External"/><Relationship Id="rId37" Type="http://schemas.openxmlformats.org/officeDocument/2006/relationships/hyperlink" Target="https://www.lcsc.com/product-detail/AC-DC-Controllers-Regulators_LOWPOWER-LP3320B6F_C387699.html" TargetMode="External"/><Relationship Id="rId40" Type="http://schemas.openxmlformats.org/officeDocument/2006/relationships/hyperlink" Target="https://www.lcsc.com/product-detail/Analog-To-Digital-Converters-ADCs_Texas-Instruments-ADS1015IDGSR_C193969.html" TargetMode="External"/><Relationship Id="rId45" Type="http://schemas.openxmlformats.org/officeDocument/2006/relationships/hyperlink" Target="https://www.lcsc.com/product-detail/Schottky-Barrier-Diodes-SBD_MDD-Microdiode-Electronics-SS32_C34897.html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402KRX5R8BB104_C106256.html" TargetMode="External"/><Relationship Id="rId10" Type="http://schemas.openxmlformats.org/officeDocument/2006/relationships/hyperlink" Target="https://www.lcsc.com/product-detail/Multilayer-Ceramic-Capacitors-MLCC-SMD-SMT_YAGEO-CC0603JRX7R9BB153_C519550.html" TargetMode="External"/><Relationship Id="rId19" Type="http://schemas.openxmlformats.org/officeDocument/2006/relationships/hyperlink" Target="https://www.lcsc.com/product-detail/MOSFETs_Guangdong-Hottech-AO3407_C181093.html" TargetMode="External"/><Relationship Id="rId31" Type="http://schemas.openxmlformats.org/officeDocument/2006/relationships/hyperlink" Target="https://www.lcsc.com/product-detail/Slide-Switches_G-Switch-SS-12D02-G040_C2876023.html" TargetMode="External"/><Relationship Id="rId44" Type="http://schemas.openxmlformats.org/officeDocument/2006/relationships/hyperlink" Target="https://www.lcsc.com/product-detail/Chip-span-style-background-color-ff0-Resistor-span-Surface-Mount_YAGEO-RC1206FR-7W5R6L_C137211.html" TargetMode="External"/><Relationship Id="rId52" Type="http://schemas.openxmlformats.org/officeDocument/2006/relationships/hyperlink" Target="https://www.lcsc.com/product-detail/Tactile-Switches_G-Switch-GT-TC025D-H0065-L1_C778132.html" TargetMode="External"/><Relationship Id="rId4" Type="http://schemas.openxmlformats.org/officeDocument/2006/relationships/hyperlink" Target="https://www.lcsc.com/product-detail/Multilayer-Ceramic-Capacitors-MLCC-SMD-SMT_YAGEO-CC0603KRX7R9BB223_C106222.html" TargetMode="External"/><Relationship Id="rId9" Type="http://schemas.openxmlformats.org/officeDocument/2006/relationships/hyperlink" Target="https://www.lcsc.com/product-detail/Multilayer-Ceramic-Capacitors-MLCC-SMD-SMT_YAGEO-CC0603JRNPO9BN331_C62784.html" TargetMode="External"/><Relationship Id="rId14" Type="http://schemas.openxmlformats.org/officeDocument/2006/relationships/hyperlink" Target="https://www.lcsc.com/product-detail/Ferrite-Beads_Murata-Electronics-BLM18SG121TN1D_C113030.html" TargetMode="External"/><Relationship Id="rId22" Type="http://schemas.openxmlformats.org/officeDocument/2006/relationships/hyperlink" Target="https://www.lcsc.com/product-detail/Chip-Resistor-Surface-Mount_YAGEO-RC0603JR-070RL_C95177.html" TargetMode="External"/><Relationship Id="rId27" Type="http://schemas.openxmlformats.org/officeDocument/2006/relationships/hyperlink" Target="https://www.lcsc.com/product-detail/Chip-Resistor-Surface-Mount_YAGEO-RC0603FR-072K2L_C114662.html" TargetMode="External"/><Relationship Id="rId30" Type="http://schemas.openxmlformats.org/officeDocument/2006/relationships/hyperlink" Target="https://www.lcsc.com/product-detail/Chip-Resistor-Surface-Mount_YAGEO-RC0603DR-07270KL_C724006.html" TargetMode="External"/><Relationship Id="rId35" Type="http://schemas.openxmlformats.org/officeDocument/2006/relationships/hyperlink" Target="https://www.lcsc.com/product-detail/Linear-Voltage-Regulators-LDO_Richtek-Tech-RT9080-33GJ5_C841192.html" TargetMode="External"/><Relationship Id="rId43" Type="http://schemas.openxmlformats.org/officeDocument/2006/relationships/hyperlink" Target="https://www.lcsc.com/product-detail/Linear-Voltage-Regulators-LDO_Richtek-Tech-RT9193-33GB_C15651.html" TargetMode="External"/><Relationship Id="rId48" Type="http://schemas.openxmlformats.org/officeDocument/2006/relationships/hyperlink" Target="https://www.lcsc.com/product-detail/Chip-Resistor-Surface-Mount_YAGEO-RC0603FR-071K5L_C114668.html" TargetMode="External"/><Relationship Id="rId8" Type="http://schemas.openxmlformats.org/officeDocument/2006/relationships/hyperlink" Target="https://www.lcsc.com/product-detail/Multilayer-Ceramic-Capacitors-MLCC-SMD-SMT_YAGEO-CC0603KRX5R6BB106_C326057.html" TargetMode="External"/><Relationship Id="rId51" Type="http://schemas.openxmlformats.org/officeDocument/2006/relationships/hyperlink" Target="https://www.lcsc.com/product-detail/Multilayer-Ceramic-Capacitors-MLCC-SMD-SMT_Samsung-Electro-Mechanics-CL10A106MO8NQNC_C92487.html" TargetMode="External"/><Relationship Id="rId3" Type="http://schemas.openxmlformats.org/officeDocument/2006/relationships/hyperlink" Target="https://www.lcsc.com/product-detail/Multilayer-Ceramic-Capacitors-MLCC-SMD-SMT_YAGEO-CC0603KRX5R8BB105_C14664.html" TargetMode="External"/><Relationship Id="rId12" Type="http://schemas.openxmlformats.org/officeDocument/2006/relationships/hyperlink" Target="https://www.lcsc.com/product-detail/TVS_WILLSEMI-Will-Semicon-ESD5302F-3-TR_C239643.html" TargetMode="External"/><Relationship Id="rId17" Type="http://schemas.openxmlformats.org/officeDocument/2006/relationships/hyperlink" Target="https://www.lcsc.com/product-detail/FFC-FPC-Connectors_HRS-Hirose-FH12A-40S-0-5SH-55_C506795.html" TargetMode="External"/><Relationship Id="rId25" Type="http://schemas.openxmlformats.org/officeDocument/2006/relationships/hyperlink" Target="https://www.lcsc.com/product-detail/Chip-Resistor-Surface-Mount_YAGEO-RC0603FR-0710RL_C109318.html" TargetMode="External"/><Relationship Id="rId33" Type="http://schemas.openxmlformats.org/officeDocument/2006/relationships/hyperlink" Target="https://www.lcsc.com/product-detail/Battery-Management-ICs_TOPPOWER-Nanjing-Extension-Microelectronics-TP4056-42-ESOP8_C16581.html" TargetMode="External"/><Relationship Id="rId38" Type="http://schemas.openxmlformats.org/officeDocument/2006/relationships/hyperlink" Target="https://www.lcsc.com/product-detail/ADC-DAC-Specialized_Everest-semi-Everest-Semiconductor-ES8388_C365736.html" TargetMode="External"/><Relationship Id="rId46" Type="http://schemas.openxmlformats.org/officeDocument/2006/relationships/hyperlink" Target="https://www.lcsc.com/product-detail/Wire-To-Board-Wire-To-Wire-Connector_DEALON-1-25-2PWB_C2905009.html" TargetMode="External"/><Relationship Id="rId20" Type="http://schemas.openxmlformats.org/officeDocument/2006/relationships/hyperlink" Target="https://www.lcsc.com/product-detail/Bipolar-Transistors-BJT_Diodes-Incorporated-MMBT2222A-7-F_C94515.html" TargetMode="External"/><Relationship Id="rId41" Type="http://schemas.openxmlformats.org/officeDocument/2006/relationships/hyperlink" Target="https://www.lcsc.com/product-detail/I-O-Expanders_NXP-Semicon-PCA9536D_C129522.html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Multilayer-Ceramic-Capacitors-MLCC-SMD-SMT_TDK-C2012X5R1V226MT000E_C338080.html" TargetMode="External"/><Relationship Id="rId15" Type="http://schemas.openxmlformats.org/officeDocument/2006/relationships/hyperlink" Target="https://www.lcsc.com/product-detail/Ferrite-Beads_Murata-Electronics-BLM18PG181SN1D_C82850.html" TargetMode="External"/><Relationship Id="rId23" Type="http://schemas.openxmlformats.org/officeDocument/2006/relationships/hyperlink" Target="https://www.lcsc.com/product-detail/Chip-Resistor-Surface-Mount_YAGEO-RC0603JR-074K7L_C105428.html" TargetMode="External"/><Relationship Id="rId28" Type="http://schemas.openxmlformats.org/officeDocument/2006/relationships/hyperlink" Target="https://www.lcsc.com/product-detail/Chip-Resistor-Surface-Mount_YAGEO-RC0603FR-0722K1L_C137768.html" TargetMode="External"/><Relationship Id="rId36" Type="http://schemas.openxmlformats.org/officeDocument/2006/relationships/hyperlink" Target="https://www.lcsc.com/product-detail/WiFi-Modules_Espressif-Systems-ESP32-S3-WROOM-1-N16R8_C2913202.html" TargetMode="External"/><Relationship Id="rId49" Type="http://schemas.openxmlformats.org/officeDocument/2006/relationships/hyperlink" Target="https://www.lcsc.com/product-detail/DIP-Switches_DongGuan-KINGTEK-Industrial-Co-LTD-DSIC01LSGET_C54948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Schottky-Barrier-Diodes-SBD_MDD-Microdiode-Electronics-DSK24-K24_C64890.html" TargetMode="External"/><Relationship Id="rId18" Type="http://schemas.openxmlformats.org/officeDocument/2006/relationships/hyperlink" Target="https://www.lcsc.com/product-detail/Inductors-SMD_Vishay-Intertech-IHHP0806AZER2R2M01_C1330968.html" TargetMode="External"/><Relationship Id="rId26" Type="http://schemas.openxmlformats.org/officeDocument/2006/relationships/hyperlink" Target="https://www.lcsc.com/product-detail/Chip-Resistor-Surface-Mount_YAGEO-RC0603FR-071KL_C22548.html" TargetMode="External"/><Relationship Id="rId39" Type="http://schemas.openxmlformats.org/officeDocument/2006/relationships/hyperlink" Target="https://www.lcsc.com/product-detail/ADC-DAC-Specialized_Everest-semi-Everest-Semiconductor-ES8388_C365736.html" TargetMode="External"/><Relationship Id="rId21" Type="http://schemas.openxmlformats.org/officeDocument/2006/relationships/hyperlink" Target="https://www.lcsc.com/product-detail/Chip-Resistor-Surface-Mount_YAGEO-RC0603FR-0710KL_C98220.html" TargetMode="External"/><Relationship Id="rId34" Type="http://schemas.openxmlformats.org/officeDocument/2006/relationships/hyperlink" Target="https://www.lcsc.com/product-detail/Battery-Management-ICs_TOPPOWER-Nanjing-Extension-Microelectronics-TP4056-42-ESOP8_C16581.html" TargetMode="External"/><Relationship Id="rId42" Type="http://schemas.openxmlformats.org/officeDocument/2006/relationships/hyperlink" Target="https://www.lcsc.com/product-detail/I-O-Expanders_NXP-Semicon-PCA9536D_C129522.html" TargetMode="External"/><Relationship Id="rId47" Type="http://schemas.openxmlformats.org/officeDocument/2006/relationships/hyperlink" Target="https://www.lcsc.com/product-detail/Wire-To-Board-Wire-To-Wire-Connector_DEALON-1-25-5PWB_C2905012.html" TargetMode="External"/><Relationship Id="rId50" Type="http://schemas.openxmlformats.org/officeDocument/2006/relationships/hyperlink" Target="https://www.lcsc.com/product-detail/Chip-span-style-background-color-ff0-Resistor-span-Surface-Mount_Walsin-Tech-Corp-WF12P5R60FTL_C431873.html" TargetMode="External"/><Relationship Id="rId7" Type="http://schemas.openxmlformats.org/officeDocument/2006/relationships/hyperlink" Target="https://www.lcsc.com/product-detail/Multilayer-Ceramic-Capacitors-MLCC-SMD-SMT_YAGEO-CC0603KRX5R7BB475_C277476.html" TargetMode="External"/><Relationship Id="rId2" Type="http://schemas.openxmlformats.org/officeDocument/2006/relationships/hyperlink" Target="https://www.lcsc.com/product-detail/Tantalum-Capacitors_Kyocera-AVX-TAJE107M025RNJ_C7230.html" TargetMode="External"/><Relationship Id="rId16" Type="http://schemas.openxmlformats.org/officeDocument/2006/relationships/hyperlink" Target="https://www.lcsc.com/product-detail/SD-Card-Connectors_HRS-Hirose-DM3BT-DSF-PEJS_C597972.html" TargetMode="External"/><Relationship Id="rId29" Type="http://schemas.openxmlformats.org/officeDocument/2006/relationships/hyperlink" Target="https://www.lcsc.com/product-detail/Chip-Resistor-Surface-Mount_YAGEO-RT0603BRD07100KL_C122538.html" TargetMode="External"/><Relationship Id="rId11" Type="http://schemas.openxmlformats.org/officeDocument/2006/relationships/hyperlink" Target="https://www.lcsc.com/product-detail/Multilayer-Ceramic-Capacitors-MLCC-SMD-SMT_YAGEO-CC0603KRX7R9BB822_C113812.html" TargetMode="External"/><Relationship Id="rId24" Type="http://schemas.openxmlformats.org/officeDocument/2006/relationships/hyperlink" Target="https://www.lcsc.com/product-detail/Chip-Resistor-Surface-Mount_YAGEO-RC0603FR-0722RL_C107701.html" TargetMode="External"/><Relationship Id="rId32" Type="http://schemas.openxmlformats.org/officeDocument/2006/relationships/hyperlink" Target="https://www.lcsc.com/product-detail/Slide-Switches_G-Switch-SS-12D02-G040_C2876023.html" TargetMode="External"/><Relationship Id="rId37" Type="http://schemas.openxmlformats.org/officeDocument/2006/relationships/hyperlink" Target="https://www.lcsc.com/product-detail/WiFi-Modules_Espressif-Systems-ESP32-S3-WROOM-1-N16R8_C2913202.html" TargetMode="External"/><Relationship Id="rId40" Type="http://schemas.openxmlformats.org/officeDocument/2006/relationships/hyperlink" Target="https://www.lcsc.com/product-detail/Audio-Power-OpAmps_MIXINNO-MIX2052_C427090.html" TargetMode="External"/><Relationship Id="rId45" Type="http://schemas.openxmlformats.org/officeDocument/2006/relationships/hyperlink" Target="https://www.lcsc.com/product-detail/Schottky-Barrier-Diodes-SBD_MDD-Microdiode-Electronics-SS32_C34897.html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www.lcsc.com/product-detail/Multilayer-Ceramic-Capacitors-MLCC-SMD-SMT_YAGEO-CC0402KRX5R8BB104_C106256.html" TargetMode="External"/><Relationship Id="rId10" Type="http://schemas.openxmlformats.org/officeDocument/2006/relationships/hyperlink" Target="https://www.lcsc.com/product-detail/Multilayer-Ceramic-Capacitors-MLCC-SMD-SMT_YAGEO-CC0603JRX7R9BB153_C519550.html" TargetMode="External"/><Relationship Id="rId19" Type="http://schemas.openxmlformats.org/officeDocument/2006/relationships/hyperlink" Target="https://www.lcsc.com/product-detail/MOSFETs_Guangdong-Hottech-AO3407_C181093.html" TargetMode="External"/><Relationship Id="rId31" Type="http://schemas.openxmlformats.org/officeDocument/2006/relationships/hyperlink" Target="https://www.lcsc.com/product-detail/Tactile-Switches_Omron-Electronics-B3U-1000P_C231329.html" TargetMode="External"/><Relationship Id="rId44" Type="http://schemas.openxmlformats.org/officeDocument/2006/relationships/hyperlink" Target="https://www.lcsc.com/product-detail/Linear-Voltage-Regulators-LDO_Richtek-Tech-RT9193-33GB_C15651.html" TargetMode="External"/><Relationship Id="rId52" Type="http://schemas.openxmlformats.org/officeDocument/2006/relationships/hyperlink" Target="https://www.lcsc.com/product-detail/Multilayer-Ceramic-Capacitors-MLCC-SMD-SMT_Samsung-Electro-Mechanics-CL10A106MO8NQNC_C92487.html" TargetMode="External"/><Relationship Id="rId4" Type="http://schemas.openxmlformats.org/officeDocument/2006/relationships/hyperlink" Target="https://www.lcsc.com/product-detail/Multilayer-Ceramic-Capacitors-MLCC-SMD-SMT_YAGEO-CC0603KRX7R9BB223_C106222.html" TargetMode="External"/><Relationship Id="rId9" Type="http://schemas.openxmlformats.org/officeDocument/2006/relationships/hyperlink" Target="https://www.lcsc.com/product-detail/Multilayer-Ceramic-Capacitors-MLCC-SMD-SMT_YAGEO-CC0603JRNPO9BN331_C62784.html" TargetMode="External"/><Relationship Id="rId14" Type="http://schemas.openxmlformats.org/officeDocument/2006/relationships/hyperlink" Target="https://www.lcsc.com/product-detail/Ferrite-Beads_Murata-Electronics-BLM18SG121TN1D_C113030.html" TargetMode="External"/><Relationship Id="rId22" Type="http://schemas.openxmlformats.org/officeDocument/2006/relationships/hyperlink" Target="https://www.lcsc.com/product-detail/Chip-Resistor-Surface-Mount_YAGEO-RC0603JR-070RL_C95177.html" TargetMode="External"/><Relationship Id="rId27" Type="http://schemas.openxmlformats.org/officeDocument/2006/relationships/hyperlink" Target="https://www.lcsc.com/product-detail/Chip-Resistor-Surface-Mount_YAGEO-RC0603FR-072K2L_C114662.html" TargetMode="External"/><Relationship Id="rId30" Type="http://schemas.openxmlformats.org/officeDocument/2006/relationships/hyperlink" Target="https://www.lcsc.com/product-detail/Chip-Resistor-Surface-Mount_YAGEO-RC0603DR-07270KL_C724006.html" TargetMode="External"/><Relationship Id="rId35" Type="http://schemas.openxmlformats.org/officeDocument/2006/relationships/hyperlink" Target="https://www.lcsc.com/product-detail/Power-Distribution-Switches_Texas-Instruments-LM66200DRLR_C3235556.html" TargetMode="External"/><Relationship Id="rId43" Type="http://schemas.openxmlformats.org/officeDocument/2006/relationships/hyperlink" Target="https://www.lcsc.com/product-detail/Multilayer-Ceramic-Capacitors-MLCC-SMD-SMT_EYANG-Shenzhen-Eyang-Tech-Development-C0105C0G330J250NTZ_C881842.html" TargetMode="External"/><Relationship Id="rId48" Type="http://schemas.openxmlformats.org/officeDocument/2006/relationships/hyperlink" Target="https://www.lcsc.com/product-detail/Chip-Resistor-Surface-Mount_YAGEO-RC0603FR-071K5L_C114668.html" TargetMode="External"/><Relationship Id="rId8" Type="http://schemas.openxmlformats.org/officeDocument/2006/relationships/hyperlink" Target="https://www.lcsc.com/product-detail/Multilayer-Ceramic-Capacitors-MLCC-SMD-SMT_YAGEO-CC0603KRX5R6BB106_C326057.html" TargetMode="External"/><Relationship Id="rId51" Type="http://schemas.openxmlformats.org/officeDocument/2006/relationships/hyperlink" Target="https://www.lcsc.com/product-detail/Dupont-Cable-Terminal-Block-Cable-Electronic-Cable_DEALON-LDR100-157128-150-5P_C2998992.html" TargetMode="External"/><Relationship Id="rId3" Type="http://schemas.openxmlformats.org/officeDocument/2006/relationships/hyperlink" Target="https://www.lcsc.com/product-detail/Multilayer-Ceramic-Capacitors-MLCC-SMD-SMT_YAGEO-CC0603KRX5R8BB105_C14664.html" TargetMode="External"/><Relationship Id="rId12" Type="http://schemas.openxmlformats.org/officeDocument/2006/relationships/hyperlink" Target="https://www.lcsc.com/product-detail/TVS_WILLSEMI-Will-Semicon-ESD5302F-3-TR_C239643.html" TargetMode="External"/><Relationship Id="rId17" Type="http://schemas.openxmlformats.org/officeDocument/2006/relationships/hyperlink" Target="https://www.lcsc.com/product-detail/FFC-FPC-Connectors_HRS-Hirose-FH12A-40S-0-5SH-55_C506795.html" TargetMode="External"/><Relationship Id="rId25" Type="http://schemas.openxmlformats.org/officeDocument/2006/relationships/hyperlink" Target="https://www.lcsc.com/product-detail/Chip-Resistor-Surface-Mount_YAGEO-RC0603FR-0710RL_C109318.html" TargetMode="External"/><Relationship Id="rId33" Type="http://schemas.openxmlformats.org/officeDocument/2006/relationships/hyperlink" Target="https://www.lcsc.com/product-detail/Monitors-Reset-Circuits_ROHM-Semicon-BU4231G-TR_C253184.html" TargetMode="External"/><Relationship Id="rId38" Type="http://schemas.openxmlformats.org/officeDocument/2006/relationships/hyperlink" Target="https://www.lcsc.com/product-detail/AC-DC-Controllers-Regulators_LOWPOWER-LP3320B6F_C387699.html" TargetMode="External"/><Relationship Id="rId46" Type="http://schemas.openxmlformats.org/officeDocument/2006/relationships/hyperlink" Target="https://www.lcsc.com/product-detail/Wire-To-Board-Wire-To-Wire-Connector_DEALON-1-25-2PWB_C2905009.html" TargetMode="External"/><Relationship Id="rId20" Type="http://schemas.openxmlformats.org/officeDocument/2006/relationships/hyperlink" Target="https://www.lcsc.com/product-detail/Bipolar-Transistors-BJT_Diodes-Incorporated-MMBT2222A-7-F_C94515.html" TargetMode="External"/><Relationship Id="rId41" Type="http://schemas.openxmlformats.org/officeDocument/2006/relationships/hyperlink" Target="https://www.lcsc.com/product-detail/Analog-To-Digital-Converters-ADCs_Texas-Instruments-ADS1015IDGSR_C193969.html" TargetMode="External"/><Relationship Id="rId54" Type="http://schemas.openxmlformats.org/officeDocument/2006/relationships/drawing" Target="../drawings/drawing2.xm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Multilayer-Ceramic-Capacitors-MLCC-SMD-SMT_TDK-C2012X5R1V226MT000E_C338080.html" TargetMode="External"/><Relationship Id="rId15" Type="http://schemas.openxmlformats.org/officeDocument/2006/relationships/hyperlink" Target="https://www.lcsc.com/product-detail/Ferrite-Beads_Murata-Electronics-BLM18PG181SN1D_C82850.html" TargetMode="External"/><Relationship Id="rId23" Type="http://schemas.openxmlformats.org/officeDocument/2006/relationships/hyperlink" Target="https://www.lcsc.com/product-detail/Chip-Resistor-Surface-Mount_YAGEO-RC0603JR-074K7L_C105428.html" TargetMode="External"/><Relationship Id="rId28" Type="http://schemas.openxmlformats.org/officeDocument/2006/relationships/hyperlink" Target="https://www.lcsc.com/product-detail/Chip-Resistor-Surface-Mount_YAGEO-RC0603FR-0722K1L_C137768.html" TargetMode="External"/><Relationship Id="rId36" Type="http://schemas.openxmlformats.org/officeDocument/2006/relationships/hyperlink" Target="https://www.lcsc.com/product-detail/Linear-Voltage-Regulators-LDO_Richtek-Tech-RT9080-33GJ5_C841192.html" TargetMode="External"/><Relationship Id="rId49" Type="http://schemas.openxmlformats.org/officeDocument/2006/relationships/hyperlink" Target="https://www.lcsc.com/product-detail/DIP-Switches_DongGuan-KINGTEK-Industrial-Co-LTD-DSIC01LSGET_C5494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abSelected="1" topLeftCell="B1" workbookViewId="0">
      <selection activeCell="I14" sqref="I14"/>
    </sheetView>
  </sheetViews>
  <sheetFormatPr defaultRowHeight="15" x14ac:dyDescent="0.25"/>
  <cols>
    <col min="2" max="2" width="3" bestFit="1" customWidth="1"/>
    <col min="3" max="3" width="19.7109375" bestFit="1" customWidth="1"/>
    <col min="4" max="4" width="31.140625" bestFit="1" customWidth="1"/>
    <col min="5" max="5" width="28.5703125" customWidth="1"/>
    <col min="6" max="6" width="15" customWidth="1"/>
    <col min="7" max="7" width="25.28515625" bestFit="1" customWidth="1"/>
    <col min="8" max="8" width="14.8554687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5.140625" bestFit="1" customWidth="1"/>
    <col min="14" max="14" width="5.42578125" bestFit="1" customWidth="1"/>
    <col min="15" max="15" width="18.28515625" bestFit="1" customWidth="1"/>
    <col min="16" max="16" width="18.85546875" bestFit="1" customWidth="1"/>
    <col min="17" max="17" width="15.7109375" bestFit="1" customWidth="1"/>
    <col min="18" max="18" width="26.28515625" customWidth="1"/>
  </cols>
  <sheetData>
    <row r="1" spans="1:18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7"/>
      <c r="L1" s="107"/>
      <c r="M1" s="107"/>
      <c r="N1" s="107"/>
      <c r="O1" s="107"/>
      <c r="P1" s="107"/>
      <c r="Q1" s="107"/>
      <c r="R1" s="108"/>
    </row>
    <row r="2" spans="1:18" ht="32.25" thickBot="1" x14ac:dyDescent="0.3">
      <c r="A2" s="1"/>
      <c r="B2" s="21"/>
      <c r="C2" s="31"/>
      <c r="D2" s="11" t="s">
        <v>0</v>
      </c>
      <c r="E2" s="11"/>
      <c r="F2" s="46" t="s">
        <v>283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3"/>
    </row>
    <row r="3" spans="1:18" x14ac:dyDescent="0.25">
      <c r="A3" s="1"/>
      <c r="B3" s="22"/>
      <c r="C3" s="32"/>
      <c r="D3" s="13" t="s">
        <v>1</v>
      </c>
      <c r="E3" s="13"/>
      <c r="F3" s="47" t="s">
        <v>284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109"/>
    </row>
    <row r="4" spans="1:18" x14ac:dyDescent="0.25">
      <c r="A4" s="1"/>
      <c r="B4" s="22"/>
      <c r="C4" s="32"/>
      <c r="D4" s="13" t="s">
        <v>2</v>
      </c>
      <c r="E4" s="13"/>
      <c r="F4" s="47" t="s">
        <v>284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110"/>
    </row>
    <row r="5" spans="1:18" x14ac:dyDescent="0.25">
      <c r="A5" s="1"/>
      <c r="B5" s="22"/>
      <c r="C5" s="32"/>
      <c r="D5" s="13" t="s">
        <v>3</v>
      </c>
      <c r="E5" s="13"/>
      <c r="F5" s="4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110"/>
    </row>
    <row r="6" spans="1:18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110"/>
    </row>
    <row r="7" spans="1:18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110"/>
    </row>
    <row r="8" spans="1:18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110"/>
    </row>
    <row r="9" spans="1:18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66</v>
      </c>
      <c r="F9" s="30" t="s">
        <v>114</v>
      </c>
      <c r="G9" s="30" t="s">
        <v>141</v>
      </c>
      <c r="H9" s="30" t="s">
        <v>182</v>
      </c>
      <c r="I9" s="30" t="s">
        <v>275</v>
      </c>
      <c r="J9" s="30" t="s">
        <v>205</v>
      </c>
      <c r="K9" s="30" t="s">
        <v>274</v>
      </c>
      <c r="L9" s="30" t="s">
        <v>269</v>
      </c>
      <c r="M9" s="30" t="s">
        <v>296</v>
      </c>
      <c r="N9" s="30" t="s">
        <v>278</v>
      </c>
      <c r="O9" s="30" t="s">
        <v>297</v>
      </c>
      <c r="P9" s="30" t="s">
        <v>298</v>
      </c>
      <c r="Q9" s="30" t="s">
        <v>281</v>
      </c>
      <c r="R9" s="30" t="s">
        <v>282</v>
      </c>
    </row>
    <row r="10" spans="1:18" s="72" customFormat="1" x14ac:dyDescent="0.25">
      <c r="A10" s="70"/>
      <c r="B10" s="39">
        <f>ROW(B10) - ROW($B$9)</f>
        <v>1</v>
      </c>
      <c r="C10" s="50" t="s">
        <v>9</v>
      </c>
      <c r="D10" s="37" t="s">
        <v>288</v>
      </c>
      <c r="E10" s="37" t="s">
        <v>67</v>
      </c>
      <c r="F10" s="37" t="s">
        <v>115</v>
      </c>
      <c r="G10" s="37" t="s">
        <v>142</v>
      </c>
      <c r="H10" s="37" t="s">
        <v>183</v>
      </c>
      <c r="I10" s="37" t="s">
        <v>271</v>
      </c>
      <c r="J10" s="37" t="s">
        <v>206</v>
      </c>
      <c r="K10" s="37" t="s">
        <v>246</v>
      </c>
      <c r="L10" s="37">
        <v>3</v>
      </c>
      <c r="M10" s="37">
        <v>50</v>
      </c>
      <c r="N10" s="52" t="s">
        <v>285</v>
      </c>
      <c r="O10" s="38">
        <v>1.89E-2</v>
      </c>
      <c r="P10" s="38">
        <f>O10*M10</f>
        <v>0.94500000000000006</v>
      </c>
      <c r="Q10" s="37"/>
      <c r="R10" s="71"/>
    </row>
    <row r="11" spans="1:18" s="72" customFormat="1" x14ac:dyDescent="0.25">
      <c r="A11" s="70"/>
      <c r="B11" s="40">
        <f t="shared" ref="B11:B67" si="0">ROW(B11) - ROW($B$9)</f>
        <v>2</v>
      </c>
      <c r="C11" s="50" t="s">
        <v>9</v>
      </c>
      <c r="D11" s="44" t="s">
        <v>22</v>
      </c>
      <c r="E11" s="44" t="s">
        <v>68</v>
      </c>
      <c r="F11" s="44" t="s">
        <v>116</v>
      </c>
      <c r="G11" s="44" t="s">
        <v>143</v>
      </c>
      <c r="H11" s="44" t="s">
        <v>184</v>
      </c>
      <c r="I11" s="44" t="s">
        <v>271</v>
      </c>
      <c r="J11" s="44" t="s">
        <v>207</v>
      </c>
      <c r="K11" s="44" t="s">
        <v>247</v>
      </c>
      <c r="L11" s="44">
        <v>2</v>
      </c>
      <c r="M11" s="44">
        <v>3</v>
      </c>
      <c r="N11" s="53" t="s">
        <v>285</v>
      </c>
      <c r="O11" s="105">
        <v>1.4064000000000001</v>
      </c>
      <c r="P11" s="45">
        <f t="shared" ref="P11" si="1">O11*M11</f>
        <v>4.2192000000000007</v>
      </c>
      <c r="Q11" s="44"/>
      <c r="R11" s="44"/>
    </row>
    <row r="12" spans="1:18" s="72" customFormat="1" ht="24" x14ac:dyDescent="0.25">
      <c r="A12" s="70"/>
      <c r="B12" s="39">
        <f>ROW(B12) - ROW($B$9)</f>
        <v>3</v>
      </c>
      <c r="C12" s="50" t="s">
        <v>9</v>
      </c>
      <c r="D12" s="37" t="s">
        <v>23</v>
      </c>
      <c r="E12" s="37" t="s">
        <v>69</v>
      </c>
      <c r="F12" s="37" t="s">
        <v>115</v>
      </c>
      <c r="G12" s="37" t="s">
        <v>144</v>
      </c>
      <c r="H12" s="37" t="s">
        <v>183</v>
      </c>
      <c r="I12" s="37" t="s">
        <v>271</v>
      </c>
      <c r="J12" s="37" t="s">
        <v>208</v>
      </c>
      <c r="K12" s="37" t="s">
        <v>248</v>
      </c>
      <c r="L12" s="37">
        <v>14</v>
      </c>
      <c r="M12" s="37">
        <v>100</v>
      </c>
      <c r="N12" s="52" t="s">
        <v>285</v>
      </c>
      <c r="O12" s="38">
        <v>5.0000000000000001E-3</v>
      </c>
      <c r="P12" s="38">
        <f>O12*M12</f>
        <v>0.5</v>
      </c>
      <c r="Q12" s="37"/>
      <c r="R12" s="49"/>
    </row>
    <row r="13" spans="1:18" s="72" customFormat="1" x14ac:dyDescent="0.25">
      <c r="A13" s="70"/>
      <c r="B13" s="40">
        <f t="shared" si="0"/>
        <v>4</v>
      </c>
      <c r="C13" s="50" t="s">
        <v>9</v>
      </c>
      <c r="D13" s="44" t="s">
        <v>24</v>
      </c>
      <c r="E13" s="44" t="s">
        <v>70</v>
      </c>
      <c r="F13" s="44" t="s">
        <v>115</v>
      </c>
      <c r="G13" s="44" t="s">
        <v>145</v>
      </c>
      <c r="H13" s="44" t="s">
        <v>183</v>
      </c>
      <c r="I13" s="44" t="s">
        <v>271</v>
      </c>
      <c r="J13" s="44" t="s">
        <v>209</v>
      </c>
      <c r="K13" s="44" t="s">
        <v>249</v>
      </c>
      <c r="L13" s="44">
        <v>1</v>
      </c>
      <c r="M13" s="44">
        <v>100</v>
      </c>
      <c r="N13" s="53" t="s">
        <v>285</v>
      </c>
      <c r="O13" s="45">
        <v>2.8E-3</v>
      </c>
      <c r="P13" s="45">
        <f t="shared" ref="P13" si="2">O13*M13</f>
        <v>0.27999999999999997</v>
      </c>
      <c r="Q13" s="44"/>
      <c r="R13" s="49"/>
    </row>
    <row r="14" spans="1:18" s="72" customFormat="1" ht="36" x14ac:dyDescent="0.25">
      <c r="A14" s="70"/>
      <c r="B14" s="39">
        <f>ROW(B14) - ROW($B$9)</f>
        <v>5</v>
      </c>
      <c r="C14" s="50" t="s">
        <v>9</v>
      </c>
      <c r="D14" s="37" t="s">
        <v>300</v>
      </c>
      <c r="E14" s="37" t="s">
        <v>71</v>
      </c>
      <c r="F14" s="37" t="s">
        <v>117</v>
      </c>
      <c r="G14" s="37" t="s">
        <v>146</v>
      </c>
      <c r="H14" s="37" t="s">
        <v>183</v>
      </c>
      <c r="I14" s="37" t="s">
        <v>271</v>
      </c>
      <c r="J14" s="37" t="s">
        <v>210</v>
      </c>
      <c r="K14" s="37" t="s">
        <v>250</v>
      </c>
      <c r="L14" s="37">
        <v>22</v>
      </c>
      <c r="M14" s="37">
        <v>100</v>
      </c>
      <c r="N14" s="52" t="s">
        <v>285</v>
      </c>
      <c r="O14" s="38">
        <v>1.8E-3</v>
      </c>
      <c r="P14" s="38">
        <f>O14*M14</f>
        <v>0.18</v>
      </c>
      <c r="Q14" s="37"/>
      <c r="R14" s="49"/>
    </row>
    <row r="15" spans="1:18" s="72" customFormat="1" x14ac:dyDescent="0.25">
      <c r="A15" s="70"/>
      <c r="B15" s="40">
        <f t="shared" si="0"/>
        <v>6</v>
      </c>
      <c r="C15" s="50" t="s">
        <v>9</v>
      </c>
      <c r="D15" s="44" t="s">
        <v>25</v>
      </c>
      <c r="E15" s="44" t="s">
        <v>72</v>
      </c>
      <c r="F15" s="44" t="s">
        <v>115</v>
      </c>
      <c r="G15" s="56" t="s">
        <v>147</v>
      </c>
      <c r="H15" s="44" t="s">
        <v>183</v>
      </c>
      <c r="I15" s="44" t="s">
        <v>343</v>
      </c>
      <c r="J15" s="44" t="s">
        <v>344</v>
      </c>
      <c r="K15" s="44" t="s">
        <v>251</v>
      </c>
      <c r="L15" s="44">
        <v>2</v>
      </c>
      <c r="M15" s="44">
        <v>20</v>
      </c>
      <c r="N15" s="53" t="s">
        <v>285</v>
      </c>
      <c r="O15" s="45">
        <v>1.77E-2</v>
      </c>
      <c r="P15" s="45">
        <f t="shared" ref="P15" si="3">O15*M15</f>
        <v>0.35399999999999998</v>
      </c>
      <c r="Q15" s="44"/>
      <c r="R15" s="49"/>
    </row>
    <row r="16" spans="1:18" s="72" customFormat="1" x14ac:dyDescent="0.25">
      <c r="A16" s="70"/>
      <c r="B16" s="39">
        <f>ROW(B16) - ROW($B$9)</f>
        <v>7</v>
      </c>
      <c r="C16" s="50" t="s">
        <v>9</v>
      </c>
      <c r="D16" s="37" t="s">
        <v>26</v>
      </c>
      <c r="E16" s="37" t="s">
        <v>73</v>
      </c>
      <c r="F16" s="37" t="s">
        <v>118</v>
      </c>
      <c r="G16" s="37" t="s">
        <v>148</v>
      </c>
      <c r="H16" s="37" t="s">
        <v>185</v>
      </c>
      <c r="I16" s="37" t="s">
        <v>271</v>
      </c>
      <c r="J16" s="37" t="s">
        <v>211</v>
      </c>
      <c r="K16" s="37" t="s">
        <v>252</v>
      </c>
      <c r="L16" s="37">
        <v>2</v>
      </c>
      <c r="M16" s="37">
        <v>5</v>
      </c>
      <c r="N16" s="52" t="s">
        <v>285</v>
      </c>
      <c r="O16" s="38">
        <v>0.42320000000000002</v>
      </c>
      <c r="P16" s="81">
        <f>O16*M16</f>
        <v>2.1160000000000001</v>
      </c>
      <c r="Q16" s="37"/>
      <c r="R16" s="49"/>
    </row>
    <row r="17" spans="1:18" s="72" customFormat="1" x14ac:dyDescent="0.25">
      <c r="A17" s="70"/>
      <c r="B17" s="40">
        <f t="shared" si="0"/>
        <v>8</v>
      </c>
      <c r="C17" s="50" t="s">
        <v>9</v>
      </c>
      <c r="D17" s="44" t="s">
        <v>27</v>
      </c>
      <c r="E17" s="44" t="s">
        <v>74</v>
      </c>
      <c r="F17" s="44" t="s">
        <v>115</v>
      </c>
      <c r="G17" s="44" t="s">
        <v>149</v>
      </c>
      <c r="H17" s="44" t="s">
        <v>183</v>
      </c>
      <c r="I17" s="44" t="s">
        <v>271</v>
      </c>
      <c r="J17" s="44" t="s">
        <v>212</v>
      </c>
      <c r="K17" s="44" t="s">
        <v>253</v>
      </c>
      <c r="L17" s="44">
        <v>6</v>
      </c>
      <c r="M17" s="44">
        <v>20</v>
      </c>
      <c r="N17" s="53" t="s">
        <v>285</v>
      </c>
      <c r="O17" s="45">
        <v>2.3800000000000002E-2</v>
      </c>
      <c r="P17" s="45">
        <f t="shared" ref="P17" si="4">O17*M17</f>
        <v>0.47600000000000003</v>
      </c>
      <c r="Q17" s="44"/>
      <c r="R17" s="49"/>
    </row>
    <row r="18" spans="1:18" s="72" customFormat="1" x14ac:dyDescent="0.25">
      <c r="A18" s="70"/>
      <c r="B18" s="39">
        <f>ROW(B18) - ROW($B$9)</f>
        <v>9</v>
      </c>
      <c r="C18" s="50" t="s">
        <v>9</v>
      </c>
      <c r="D18" s="37" t="s">
        <v>28</v>
      </c>
      <c r="E18" s="37" t="s">
        <v>75</v>
      </c>
      <c r="F18" s="37" t="s">
        <v>117</v>
      </c>
      <c r="G18" s="54" t="s">
        <v>150</v>
      </c>
      <c r="H18" s="37" t="s">
        <v>186</v>
      </c>
      <c r="I18" s="37" t="s">
        <v>289</v>
      </c>
      <c r="J18" s="37" t="s">
        <v>290</v>
      </c>
      <c r="K18" s="37" t="s">
        <v>254</v>
      </c>
      <c r="L18" s="37">
        <v>3</v>
      </c>
      <c r="M18" s="37">
        <v>50</v>
      </c>
      <c r="N18" s="52" t="s">
        <v>285</v>
      </c>
      <c r="O18" s="38">
        <v>5.4999999999999997E-3</v>
      </c>
      <c r="P18" s="38">
        <f>O18*M18</f>
        <v>0.27499999999999997</v>
      </c>
      <c r="Q18" s="37"/>
      <c r="R18" s="49"/>
    </row>
    <row r="19" spans="1:18" s="72" customFormat="1" x14ac:dyDescent="0.25">
      <c r="A19" s="70"/>
      <c r="B19" s="40">
        <f t="shared" si="0"/>
        <v>10</v>
      </c>
      <c r="C19" s="50" t="s">
        <v>9</v>
      </c>
      <c r="D19" s="44" t="s">
        <v>29</v>
      </c>
      <c r="E19" s="44" t="s">
        <v>76</v>
      </c>
      <c r="F19" s="44" t="s">
        <v>115</v>
      </c>
      <c r="G19" s="44" t="s">
        <v>151</v>
      </c>
      <c r="H19" s="44" t="s">
        <v>183</v>
      </c>
      <c r="I19" s="44" t="s">
        <v>271</v>
      </c>
      <c r="J19" s="44" t="s">
        <v>213</v>
      </c>
      <c r="K19" s="44" t="s">
        <v>251</v>
      </c>
      <c r="L19" s="44">
        <v>1</v>
      </c>
      <c r="M19" s="44">
        <v>20</v>
      </c>
      <c r="N19" s="53" t="s">
        <v>285</v>
      </c>
      <c r="O19" s="45">
        <v>2.0199999999999999E-2</v>
      </c>
      <c r="P19" s="45">
        <f t="shared" ref="P19:P20" si="5">O19*M19</f>
        <v>0.40399999999999997</v>
      </c>
      <c r="Q19" s="44"/>
      <c r="R19" s="49"/>
    </row>
    <row r="20" spans="1:18" s="72" customFormat="1" x14ac:dyDescent="0.25">
      <c r="A20" s="70"/>
      <c r="B20" s="40">
        <f t="shared" si="0"/>
        <v>11</v>
      </c>
      <c r="C20" s="50" t="s">
        <v>9</v>
      </c>
      <c r="D20" s="44" t="s">
        <v>30</v>
      </c>
      <c r="E20" s="44" t="s">
        <v>77</v>
      </c>
      <c r="F20" s="44" t="s">
        <v>115</v>
      </c>
      <c r="G20" s="44" t="s">
        <v>152</v>
      </c>
      <c r="H20" s="44" t="s">
        <v>183</v>
      </c>
      <c r="I20" s="44" t="s">
        <v>271</v>
      </c>
      <c r="J20" s="44" t="s">
        <v>214</v>
      </c>
      <c r="K20" s="44" t="s">
        <v>255</v>
      </c>
      <c r="L20" s="44">
        <v>2</v>
      </c>
      <c r="M20" s="44">
        <v>100</v>
      </c>
      <c r="N20" s="53" t="s">
        <v>285</v>
      </c>
      <c r="O20" s="45">
        <v>3.7000000000000002E-3</v>
      </c>
      <c r="P20" s="45">
        <f t="shared" si="5"/>
        <v>0.37</v>
      </c>
      <c r="Q20" s="44"/>
      <c r="R20" s="49"/>
    </row>
    <row r="21" spans="1:18" s="72" customFormat="1" x14ac:dyDescent="0.25">
      <c r="A21" s="70"/>
      <c r="B21" s="39">
        <f>ROW(B21) - ROW($B$9)</f>
        <v>12</v>
      </c>
      <c r="C21" s="50" t="s">
        <v>9</v>
      </c>
      <c r="D21" s="37" t="s">
        <v>31</v>
      </c>
      <c r="E21" s="37" t="s">
        <v>78</v>
      </c>
      <c r="F21" s="37" t="s">
        <v>115</v>
      </c>
      <c r="G21" s="37" t="s">
        <v>153</v>
      </c>
      <c r="H21" s="37" t="s">
        <v>183</v>
      </c>
      <c r="I21" s="37" t="s">
        <v>271</v>
      </c>
      <c r="J21" s="37" t="s">
        <v>215</v>
      </c>
      <c r="K21" s="37" t="s">
        <v>256</v>
      </c>
      <c r="L21" s="37">
        <v>2</v>
      </c>
      <c r="M21" s="37">
        <v>100</v>
      </c>
      <c r="N21" s="52" t="s">
        <v>285</v>
      </c>
      <c r="O21" s="38">
        <v>4.4999999999999997E-3</v>
      </c>
      <c r="P21" s="38">
        <f>O21*M21</f>
        <v>0.44999999999999996</v>
      </c>
      <c r="Q21" s="37"/>
      <c r="R21" s="49"/>
    </row>
    <row r="22" spans="1:18" s="72" customFormat="1" x14ac:dyDescent="0.25">
      <c r="A22" s="70"/>
      <c r="B22" s="40">
        <f t="shared" si="0"/>
        <v>13</v>
      </c>
      <c r="C22" s="50" t="s">
        <v>9</v>
      </c>
      <c r="D22" s="44" t="s">
        <v>32</v>
      </c>
      <c r="E22" s="44" t="s">
        <v>79</v>
      </c>
      <c r="F22" s="44" t="s">
        <v>115</v>
      </c>
      <c r="G22" s="44" t="s">
        <v>154</v>
      </c>
      <c r="H22" s="44" t="s">
        <v>183</v>
      </c>
      <c r="I22" s="44" t="s">
        <v>271</v>
      </c>
      <c r="J22" s="44" t="s">
        <v>216</v>
      </c>
      <c r="K22" s="44" t="s">
        <v>257</v>
      </c>
      <c r="L22" s="44">
        <v>1</v>
      </c>
      <c r="M22" s="44">
        <v>100</v>
      </c>
      <c r="N22" s="53" t="s">
        <v>285</v>
      </c>
      <c r="O22" s="45">
        <v>3.2000000000000002E-3</v>
      </c>
      <c r="P22" s="45">
        <f t="shared" ref="P22" si="6">O22*M22</f>
        <v>0.32</v>
      </c>
      <c r="Q22" s="44"/>
      <c r="R22" s="49"/>
    </row>
    <row r="23" spans="1:18" s="72" customFormat="1" ht="24" x14ac:dyDescent="0.25">
      <c r="A23" s="70"/>
      <c r="B23" s="40">
        <f t="shared" si="0"/>
        <v>14</v>
      </c>
      <c r="C23" s="50" t="s">
        <v>10</v>
      </c>
      <c r="D23" s="44" t="s">
        <v>33</v>
      </c>
      <c r="E23" s="44" t="s">
        <v>80</v>
      </c>
      <c r="F23" s="44" t="s">
        <v>119</v>
      </c>
      <c r="G23" s="44" t="s">
        <v>155</v>
      </c>
      <c r="H23" s="44" t="s">
        <v>187</v>
      </c>
      <c r="I23" s="44" t="s">
        <v>271</v>
      </c>
      <c r="J23" s="44" t="s">
        <v>217</v>
      </c>
      <c r="K23" s="44" t="s">
        <v>271</v>
      </c>
      <c r="L23" s="44">
        <v>1</v>
      </c>
      <c r="M23" s="44">
        <v>5</v>
      </c>
      <c r="N23" s="53" t="s">
        <v>285</v>
      </c>
      <c r="O23" s="45">
        <v>8.6400000000000005E-2</v>
      </c>
      <c r="P23" s="45">
        <f t="shared" ref="P23" si="7">O23*M23</f>
        <v>0.43200000000000005</v>
      </c>
      <c r="Q23" s="44"/>
      <c r="R23" s="49"/>
    </row>
    <row r="24" spans="1:18" s="72" customFormat="1" ht="36" x14ac:dyDescent="0.25">
      <c r="A24" s="70"/>
      <c r="B24" s="39">
        <f>ROW(B24) - ROW($B$9)</f>
        <v>15</v>
      </c>
      <c r="C24" s="50" t="s">
        <v>10</v>
      </c>
      <c r="D24" s="37" t="s">
        <v>34</v>
      </c>
      <c r="E24" s="37" t="s">
        <v>81</v>
      </c>
      <c r="F24" s="37" t="s">
        <v>120</v>
      </c>
      <c r="G24" s="37" t="s">
        <v>156</v>
      </c>
      <c r="H24" s="37" t="s">
        <v>188</v>
      </c>
      <c r="I24" s="37" t="s">
        <v>271</v>
      </c>
      <c r="J24" s="37" t="s">
        <v>218</v>
      </c>
      <c r="K24" s="37" t="s">
        <v>271</v>
      </c>
      <c r="L24" s="37">
        <v>1</v>
      </c>
      <c r="M24" s="37">
        <v>20</v>
      </c>
      <c r="N24" s="52" t="s">
        <v>285</v>
      </c>
      <c r="O24" s="38">
        <v>2.63E-2</v>
      </c>
      <c r="P24" s="38">
        <f>O24*M24</f>
        <v>0.52600000000000002</v>
      </c>
      <c r="Q24" s="37"/>
      <c r="R24" s="49"/>
    </row>
    <row r="25" spans="1:18" s="72" customFormat="1" ht="36" x14ac:dyDescent="0.25">
      <c r="A25" s="70"/>
      <c r="B25" s="40">
        <f t="shared" ref="B25" si="8">ROW(B25) - ROW($B$9)</f>
        <v>16</v>
      </c>
      <c r="C25" s="50" t="s">
        <v>10</v>
      </c>
      <c r="D25" s="44" t="s">
        <v>301</v>
      </c>
      <c r="E25" s="44" t="s">
        <v>302</v>
      </c>
      <c r="F25" s="44" t="s">
        <v>303</v>
      </c>
      <c r="G25" s="44" t="s">
        <v>304</v>
      </c>
      <c r="H25" s="44" t="s">
        <v>188</v>
      </c>
      <c r="I25" s="44" t="s">
        <v>271</v>
      </c>
      <c r="J25" s="44" t="s">
        <v>305</v>
      </c>
      <c r="K25" s="44" t="s">
        <v>271</v>
      </c>
      <c r="L25" s="44">
        <v>1</v>
      </c>
      <c r="M25" s="44">
        <v>20</v>
      </c>
      <c r="N25" s="53" t="s">
        <v>285</v>
      </c>
      <c r="O25" s="44">
        <v>3.8100000000000002E-2</v>
      </c>
      <c r="P25" s="45">
        <f>O25*M25</f>
        <v>0.76200000000000001</v>
      </c>
      <c r="Q25" s="45"/>
      <c r="R25" s="44"/>
    </row>
    <row r="26" spans="1:18" s="72" customFormat="1" ht="24" x14ac:dyDescent="0.25">
      <c r="A26" s="70"/>
      <c r="B26" s="39">
        <f>ROW(B26) - ROW($B$9)</f>
        <v>17</v>
      </c>
      <c r="C26" s="50" t="s">
        <v>11</v>
      </c>
      <c r="D26" s="37" t="s">
        <v>35</v>
      </c>
      <c r="E26" s="37" t="s">
        <v>82</v>
      </c>
      <c r="F26" s="37" t="s">
        <v>121</v>
      </c>
      <c r="G26" s="37" t="s">
        <v>157</v>
      </c>
      <c r="H26" s="37" t="s">
        <v>186</v>
      </c>
      <c r="I26" s="37" t="s">
        <v>271</v>
      </c>
      <c r="J26" s="37" t="s">
        <v>219</v>
      </c>
      <c r="K26" s="44" t="s">
        <v>271</v>
      </c>
      <c r="L26" s="37">
        <v>2</v>
      </c>
      <c r="M26" s="37">
        <v>20</v>
      </c>
      <c r="N26" s="52" t="s">
        <v>285</v>
      </c>
      <c r="O26" s="38">
        <v>3.2199999999999999E-2</v>
      </c>
      <c r="P26" s="38">
        <f>O26*M26</f>
        <v>0.64400000000000002</v>
      </c>
      <c r="Q26" s="37"/>
      <c r="R26" s="49"/>
    </row>
    <row r="27" spans="1:18" s="72" customFormat="1" ht="24" x14ac:dyDescent="0.25">
      <c r="A27" s="70"/>
      <c r="B27" s="40">
        <f t="shared" si="0"/>
        <v>18</v>
      </c>
      <c r="C27" s="51" t="s">
        <v>12</v>
      </c>
      <c r="D27" s="44" t="s">
        <v>36</v>
      </c>
      <c r="E27" s="44" t="s">
        <v>83</v>
      </c>
      <c r="F27" s="44" t="s">
        <v>121</v>
      </c>
      <c r="G27" s="44" t="s">
        <v>158</v>
      </c>
      <c r="H27" s="44" t="s">
        <v>186</v>
      </c>
      <c r="I27" s="44" t="s">
        <v>271</v>
      </c>
      <c r="J27" s="44" t="s">
        <v>220</v>
      </c>
      <c r="K27" s="44" t="s">
        <v>271</v>
      </c>
      <c r="L27" s="44">
        <v>1</v>
      </c>
      <c r="M27" s="44">
        <v>50</v>
      </c>
      <c r="N27" s="53" t="s">
        <v>285</v>
      </c>
      <c r="O27" s="45">
        <v>8.8999999999999999E-3</v>
      </c>
      <c r="P27" s="45">
        <f t="shared" ref="P27" si="9">O27*M27</f>
        <v>0.44500000000000001</v>
      </c>
      <c r="Q27" s="44"/>
      <c r="R27" s="49"/>
    </row>
    <row r="28" spans="1:18" s="72" customFormat="1" x14ac:dyDescent="0.25">
      <c r="A28" s="70"/>
      <c r="B28" s="39">
        <f>ROW(B28) - ROW($B$9)</f>
        <v>19</v>
      </c>
      <c r="C28" s="51" t="s">
        <v>306</v>
      </c>
      <c r="D28" s="37" t="s">
        <v>37</v>
      </c>
      <c r="E28" s="37" t="s">
        <v>307</v>
      </c>
      <c r="F28" s="37" t="s">
        <v>272</v>
      </c>
      <c r="G28" s="37" t="s">
        <v>308</v>
      </c>
      <c r="H28" s="37" t="s">
        <v>271</v>
      </c>
      <c r="I28" s="37" t="s">
        <v>271</v>
      </c>
      <c r="J28" s="37" t="s">
        <v>271</v>
      </c>
      <c r="K28" s="37" t="s">
        <v>271</v>
      </c>
      <c r="L28" s="37">
        <v>1</v>
      </c>
      <c r="M28" s="37">
        <v>5</v>
      </c>
      <c r="N28" s="52" t="s">
        <v>271</v>
      </c>
      <c r="O28" s="38" t="s">
        <v>271</v>
      </c>
      <c r="P28" s="38" t="s">
        <v>271</v>
      </c>
      <c r="Q28" s="37"/>
      <c r="R28" s="49"/>
    </row>
    <row r="29" spans="1:18" s="72" customFormat="1" ht="48" x14ac:dyDescent="0.25">
      <c r="A29" s="70"/>
      <c r="B29" s="40">
        <f t="shared" si="0"/>
        <v>20</v>
      </c>
      <c r="C29" s="51" t="s">
        <v>13</v>
      </c>
      <c r="D29" s="44" t="s">
        <v>309</v>
      </c>
      <c r="E29" s="44" t="s">
        <v>310</v>
      </c>
      <c r="F29" s="44" t="s">
        <v>272</v>
      </c>
      <c r="G29" s="44" t="s">
        <v>311</v>
      </c>
      <c r="H29" s="44" t="s">
        <v>312</v>
      </c>
      <c r="I29" s="44" t="s">
        <v>271</v>
      </c>
      <c r="J29" s="44" t="s">
        <v>313</v>
      </c>
      <c r="K29" s="44" t="s">
        <v>271</v>
      </c>
      <c r="L29" s="44">
        <v>3</v>
      </c>
      <c r="M29" s="44">
        <v>20</v>
      </c>
      <c r="N29" s="53" t="s">
        <v>285</v>
      </c>
      <c r="O29" s="45">
        <v>2.52E-2</v>
      </c>
      <c r="P29" s="45">
        <f t="shared" ref="P29" si="10">O29*M29</f>
        <v>0.504</v>
      </c>
      <c r="Q29" s="44"/>
      <c r="R29" s="49"/>
    </row>
    <row r="30" spans="1:18" s="72" customFormat="1" ht="24" x14ac:dyDescent="0.25">
      <c r="A30" s="70"/>
      <c r="B30" s="39">
        <f>ROW(B30) - ROW($B$9)</f>
        <v>21</v>
      </c>
      <c r="C30" s="50" t="s">
        <v>14</v>
      </c>
      <c r="D30" s="37" t="s">
        <v>38</v>
      </c>
      <c r="E30" s="37" t="s">
        <v>84</v>
      </c>
      <c r="F30" s="37" t="s">
        <v>272</v>
      </c>
      <c r="G30" s="37" t="s">
        <v>122</v>
      </c>
      <c r="H30" s="37" t="s">
        <v>189</v>
      </c>
      <c r="I30" s="37" t="s">
        <v>271</v>
      </c>
      <c r="J30" s="37" t="s">
        <v>221</v>
      </c>
      <c r="K30" s="44" t="s">
        <v>271</v>
      </c>
      <c r="L30" s="37">
        <v>1</v>
      </c>
      <c r="M30" s="37">
        <v>2</v>
      </c>
      <c r="N30" s="52" t="s">
        <v>285</v>
      </c>
      <c r="O30" s="38" t="s">
        <v>271</v>
      </c>
      <c r="P30" s="38" t="s">
        <v>271</v>
      </c>
      <c r="Q30" s="106" t="s">
        <v>345</v>
      </c>
      <c r="R30" s="49"/>
    </row>
    <row r="31" spans="1:18" s="72" customFormat="1" x14ac:dyDescent="0.25">
      <c r="A31" s="70"/>
      <c r="B31" s="40">
        <f t="shared" si="0"/>
        <v>22</v>
      </c>
      <c r="C31" s="51" t="s">
        <v>326</v>
      </c>
      <c r="D31" s="44" t="s">
        <v>39</v>
      </c>
      <c r="E31" s="44" t="s">
        <v>85</v>
      </c>
      <c r="F31" s="44" t="s">
        <v>272</v>
      </c>
      <c r="G31" s="44" t="s">
        <v>123</v>
      </c>
      <c r="H31" s="44" t="s">
        <v>189</v>
      </c>
      <c r="I31" s="44" t="s">
        <v>271</v>
      </c>
      <c r="J31" s="44" t="s">
        <v>286</v>
      </c>
      <c r="K31" s="44" t="s">
        <v>271</v>
      </c>
      <c r="L31" s="44">
        <v>1</v>
      </c>
      <c r="M31" s="44">
        <v>2</v>
      </c>
      <c r="N31" s="53" t="s">
        <v>285</v>
      </c>
      <c r="O31" s="45">
        <v>0.9546</v>
      </c>
      <c r="P31" s="45">
        <f t="shared" ref="P31" si="11">O31*M31</f>
        <v>1.9092</v>
      </c>
      <c r="Q31" s="44"/>
      <c r="R31" s="49"/>
    </row>
    <row r="32" spans="1:18" s="72" customFormat="1" ht="48" x14ac:dyDescent="0.25">
      <c r="A32" s="70"/>
      <c r="B32" s="39">
        <f>ROW(B32) - ROW($B$9)</f>
        <v>23</v>
      </c>
      <c r="C32" s="50" t="s">
        <v>314</v>
      </c>
      <c r="D32" s="37" t="s">
        <v>315</v>
      </c>
      <c r="E32" s="37" t="s">
        <v>316</v>
      </c>
      <c r="F32" s="37" t="s">
        <v>272</v>
      </c>
      <c r="G32" s="37" t="s">
        <v>317</v>
      </c>
      <c r="H32" s="37" t="s">
        <v>312</v>
      </c>
      <c r="I32" s="37" t="s">
        <v>271</v>
      </c>
      <c r="J32" s="37" t="s">
        <v>318</v>
      </c>
      <c r="K32" s="37" t="s">
        <v>271</v>
      </c>
      <c r="L32" s="37">
        <v>1</v>
      </c>
      <c r="M32" s="37">
        <v>10</v>
      </c>
      <c r="N32" s="52" t="s">
        <v>285</v>
      </c>
      <c r="O32" s="38">
        <v>3.8199999999999998E-2</v>
      </c>
      <c r="P32" s="38">
        <f>O32*M32</f>
        <v>0.38200000000000001</v>
      </c>
      <c r="Q32" s="37"/>
      <c r="R32" s="49"/>
    </row>
    <row r="33" spans="1:18" s="72" customFormat="1" ht="24" x14ac:dyDescent="0.25">
      <c r="A33" s="70"/>
      <c r="B33" s="40">
        <f t="shared" si="0"/>
        <v>24</v>
      </c>
      <c r="C33" s="51" t="s">
        <v>12</v>
      </c>
      <c r="D33" s="44" t="s">
        <v>40</v>
      </c>
      <c r="E33" s="44" t="s">
        <v>86</v>
      </c>
      <c r="F33" s="37" t="s">
        <v>272</v>
      </c>
      <c r="G33" s="44" t="s">
        <v>124</v>
      </c>
      <c r="H33" s="44" t="s">
        <v>190</v>
      </c>
      <c r="I33" s="44" t="s">
        <v>271</v>
      </c>
      <c r="J33" s="44" t="s">
        <v>222</v>
      </c>
      <c r="K33" s="44" t="s">
        <v>271</v>
      </c>
      <c r="L33" s="44">
        <v>1</v>
      </c>
      <c r="M33" s="44">
        <v>2</v>
      </c>
      <c r="N33" s="53" t="s">
        <v>285</v>
      </c>
      <c r="O33" s="45">
        <v>0.29110000000000003</v>
      </c>
      <c r="P33" s="45">
        <f t="shared" ref="P33" si="12">O33*M33</f>
        <v>0.58220000000000005</v>
      </c>
      <c r="Q33" s="44"/>
      <c r="R33" s="49"/>
    </row>
    <row r="34" spans="1:18" s="72" customFormat="1" ht="24" x14ac:dyDescent="0.25">
      <c r="A34" s="70"/>
      <c r="B34" s="39">
        <f>ROW(B34) - ROW($B$9)</f>
        <v>25</v>
      </c>
      <c r="C34" s="50" t="s">
        <v>15</v>
      </c>
      <c r="D34" s="54" t="s">
        <v>41</v>
      </c>
      <c r="E34" s="54" t="s">
        <v>87</v>
      </c>
      <c r="F34" s="54" t="s">
        <v>272</v>
      </c>
      <c r="G34" s="54" t="s">
        <v>273</v>
      </c>
      <c r="H34" s="55" t="s">
        <v>271</v>
      </c>
      <c r="I34" s="56" t="s">
        <v>271</v>
      </c>
      <c r="J34" s="56" t="s">
        <v>271</v>
      </c>
      <c r="K34" s="56" t="s">
        <v>271</v>
      </c>
      <c r="L34" s="54">
        <v>13</v>
      </c>
      <c r="M34" s="54" t="s">
        <v>271</v>
      </c>
      <c r="N34" s="54" t="s">
        <v>271</v>
      </c>
      <c r="O34" s="57" t="s">
        <v>271</v>
      </c>
      <c r="P34" s="57" t="s">
        <v>271</v>
      </c>
      <c r="Q34" s="54"/>
      <c r="R34" s="58"/>
    </row>
    <row r="35" spans="1:18" s="72" customFormat="1" ht="36" x14ac:dyDescent="0.25">
      <c r="A35" s="70"/>
      <c r="B35" s="40">
        <f t="shared" si="0"/>
        <v>26</v>
      </c>
      <c r="C35" s="51" t="s">
        <v>16</v>
      </c>
      <c r="D35" s="44" t="s">
        <v>42</v>
      </c>
      <c r="E35" s="44" t="s">
        <v>88</v>
      </c>
      <c r="F35" s="44" t="s">
        <v>125</v>
      </c>
      <c r="G35" s="44" t="s">
        <v>159</v>
      </c>
      <c r="H35" s="44" t="s">
        <v>191</v>
      </c>
      <c r="I35" s="44" t="s">
        <v>271</v>
      </c>
      <c r="J35" s="44" t="s">
        <v>223</v>
      </c>
      <c r="K35" s="44" t="s">
        <v>271</v>
      </c>
      <c r="L35" s="44">
        <v>1</v>
      </c>
      <c r="M35" s="44">
        <v>10</v>
      </c>
      <c r="N35" s="53" t="s">
        <v>285</v>
      </c>
      <c r="O35" s="45">
        <v>4.6899999999999997E-2</v>
      </c>
      <c r="P35" s="45">
        <f t="shared" ref="P35" si="13">O35*M35</f>
        <v>0.46899999999999997</v>
      </c>
      <c r="Q35" s="44"/>
      <c r="R35" s="49"/>
    </row>
    <row r="36" spans="1:18" s="72" customFormat="1" x14ac:dyDescent="0.25">
      <c r="A36" s="70"/>
      <c r="B36" s="39">
        <f>ROW(B36) - ROW($B$9)</f>
        <v>27</v>
      </c>
      <c r="C36" s="51" t="s">
        <v>16</v>
      </c>
      <c r="D36" s="37" t="s">
        <v>43</v>
      </c>
      <c r="E36" s="37" t="s">
        <v>89</v>
      </c>
      <c r="F36" s="37" t="s">
        <v>125</v>
      </c>
      <c r="G36" s="37" t="s">
        <v>160</v>
      </c>
      <c r="H36" s="37" t="s">
        <v>192</v>
      </c>
      <c r="I36" s="37" t="s">
        <v>271</v>
      </c>
      <c r="J36" s="37" t="s">
        <v>224</v>
      </c>
      <c r="K36" s="44" t="s">
        <v>271</v>
      </c>
      <c r="L36" s="37">
        <v>1</v>
      </c>
      <c r="M36" s="37">
        <v>20</v>
      </c>
      <c r="N36" s="52" t="s">
        <v>285</v>
      </c>
      <c r="O36" s="38">
        <v>3.49E-2</v>
      </c>
      <c r="P36" s="38">
        <f>O36*M36</f>
        <v>0.69799999999999995</v>
      </c>
      <c r="Q36" s="37"/>
      <c r="R36" s="49"/>
    </row>
    <row r="37" spans="1:18" s="72" customFormat="1" ht="24" x14ac:dyDescent="0.25">
      <c r="A37" s="70"/>
      <c r="B37" s="40">
        <f t="shared" si="0"/>
        <v>28</v>
      </c>
      <c r="C37" s="50" t="s">
        <v>17</v>
      </c>
      <c r="D37" s="44" t="s">
        <v>331</v>
      </c>
      <c r="E37" s="44" t="s">
        <v>90</v>
      </c>
      <c r="F37" s="44" t="s">
        <v>126</v>
      </c>
      <c r="G37" s="44" t="s">
        <v>161</v>
      </c>
      <c r="H37" s="44" t="s">
        <v>183</v>
      </c>
      <c r="I37" s="44" t="s">
        <v>271</v>
      </c>
      <c r="J37" s="44" t="s">
        <v>225</v>
      </c>
      <c r="K37" s="44" t="s">
        <v>258</v>
      </c>
      <c r="L37" s="44">
        <v>11</v>
      </c>
      <c r="M37" s="44">
        <v>100</v>
      </c>
      <c r="N37" s="53" t="s">
        <v>285</v>
      </c>
      <c r="O37" s="45">
        <v>1E-3</v>
      </c>
      <c r="P37" s="45">
        <f t="shared" ref="P37" si="14">O37*M37</f>
        <v>0.1</v>
      </c>
      <c r="Q37" s="73" t="s">
        <v>299</v>
      </c>
      <c r="R37" s="49"/>
    </row>
    <row r="38" spans="1:18" s="72" customFormat="1" x14ac:dyDescent="0.25">
      <c r="A38" s="70"/>
      <c r="B38" s="40">
        <f t="shared" si="0"/>
        <v>29</v>
      </c>
      <c r="C38" s="50" t="s">
        <v>17</v>
      </c>
      <c r="D38" s="44" t="s">
        <v>44</v>
      </c>
      <c r="E38" s="44" t="s">
        <v>91</v>
      </c>
      <c r="F38" s="44" t="s">
        <v>126</v>
      </c>
      <c r="G38" s="44" t="s">
        <v>162</v>
      </c>
      <c r="H38" s="44" t="s">
        <v>183</v>
      </c>
      <c r="I38" s="44" t="s">
        <v>271</v>
      </c>
      <c r="J38" s="44" t="s">
        <v>287</v>
      </c>
      <c r="K38" s="44" t="s">
        <v>259</v>
      </c>
      <c r="L38" s="44">
        <v>3</v>
      </c>
      <c r="M38" s="44">
        <v>100</v>
      </c>
      <c r="N38" s="53" t="s">
        <v>285</v>
      </c>
      <c r="O38" s="45">
        <v>1.1000000000000001E-3</v>
      </c>
      <c r="P38" s="45">
        <f t="shared" ref="P38" si="15">O38*M38</f>
        <v>0.11</v>
      </c>
      <c r="Q38" s="44"/>
      <c r="R38" s="49"/>
    </row>
    <row r="39" spans="1:18" s="72" customFormat="1" x14ac:dyDescent="0.25">
      <c r="A39" s="70"/>
      <c r="B39" s="39">
        <f>ROW(B39) - ROW($B$9)</f>
        <v>30</v>
      </c>
      <c r="C39" s="50" t="s">
        <v>17</v>
      </c>
      <c r="D39" s="37" t="s">
        <v>45</v>
      </c>
      <c r="E39" s="44" t="s">
        <v>327</v>
      </c>
      <c r="F39" s="44" t="s">
        <v>126</v>
      </c>
      <c r="G39" s="44" t="s">
        <v>328</v>
      </c>
      <c r="H39" s="44" t="s">
        <v>183</v>
      </c>
      <c r="I39" s="44" t="s">
        <v>271</v>
      </c>
      <c r="J39" s="44" t="s">
        <v>329</v>
      </c>
      <c r="K39" s="44" t="s">
        <v>330</v>
      </c>
      <c r="L39" s="44">
        <v>1</v>
      </c>
      <c r="M39" s="37">
        <v>100</v>
      </c>
      <c r="N39" s="52" t="s">
        <v>285</v>
      </c>
      <c r="O39" s="38">
        <v>1.2999999999999999E-3</v>
      </c>
      <c r="P39" s="38">
        <f>O39*M39</f>
        <v>0.13</v>
      </c>
      <c r="Q39" s="37"/>
      <c r="R39" s="49"/>
    </row>
    <row r="40" spans="1:18" s="72" customFormat="1" x14ac:dyDescent="0.25">
      <c r="A40" s="70"/>
      <c r="B40" s="39">
        <f>ROW(B40) - ROW($B$9)</f>
        <v>31</v>
      </c>
      <c r="C40" s="50" t="s">
        <v>17</v>
      </c>
      <c r="D40" s="37" t="s">
        <v>46</v>
      </c>
      <c r="E40" s="37" t="s">
        <v>92</v>
      </c>
      <c r="F40" s="37" t="s">
        <v>126</v>
      </c>
      <c r="G40" s="37" t="s">
        <v>163</v>
      </c>
      <c r="H40" s="37" t="s">
        <v>183</v>
      </c>
      <c r="I40" s="37" t="s">
        <v>271</v>
      </c>
      <c r="J40" s="37" t="s">
        <v>226</v>
      </c>
      <c r="K40" s="37" t="s">
        <v>260</v>
      </c>
      <c r="L40" s="37">
        <v>2</v>
      </c>
      <c r="M40" s="37">
        <v>100</v>
      </c>
      <c r="N40" s="52" t="s">
        <v>285</v>
      </c>
      <c r="O40" s="38">
        <v>1.1000000000000001E-3</v>
      </c>
      <c r="P40" s="38">
        <f>O40*M40</f>
        <v>0.11</v>
      </c>
      <c r="Q40" s="37"/>
      <c r="R40" s="49"/>
    </row>
    <row r="41" spans="1:18" s="72" customFormat="1" ht="36" x14ac:dyDescent="0.25">
      <c r="A41" s="70"/>
      <c r="B41" s="40">
        <f t="shared" si="0"/>
        <v>32</v>
      </c>
      <c r="C41" s="50" t="s">
        <v>17</v>
      </c>
      <c r="D41" s="44" t="s">
        <v>47</v>
      </c>
      <c r="E41" s="44" t="s">
        <v>295</v>
      </c>
      <c r="F41" s="44" t="s">
        <v>292</v>
      </c>
      <c r="G41" s="44" t="s">
        <v>293</v>
      </c>
      <c r="H41" s="44" t="s">
        <v>183</v>
      </c>
      <c r="I41" s="44" t="s">
        <v>271</v>
      </c>
      <c r="J41" s="44" t="s">
        <v>294</v>
      </c>
      <c r="K41" s="44" t="s">
        <v>261</v>
      </c>
      <c r="L41" s="44">
        <v>1</v>
      </c>
      <c r="M41" s="44">
        <v>20</v>
      </c>
      <c r="N41" s="53" t="s">
        <v>285</v>
      </c>
      <c r="O41" s="45">
        <v>2.7699999999999999E-2</v>
      </c>
      <c r="P41" s="45">
        <f t="shared" ref="P41" si="16">O41*M41</f>
        <v>0.55399999999999994</v>
      </c>
      <c r="Q41" s="44"/>
      <c r="R41" s="49"/>
    </row>
    <row r="42" spans="1:18" s="72" customFormat="1" x14ac:dyDescent="0.25">
      <c r="A42" s="70"/>
      <c r="B42" s="39">
        <f>ROW(B42) - ROW($B$9)</f>
        <v>33</v>
      </c>
      <c r="C42" s="50" t="s">
        <v>17</v>
      </c>
      <c r="D42" s="37" t="s">
        <v>48</v>
      </c>
      <c r="E42" s="37" t="s">
        <v>93</v>
      </c>
      <c r="F42" s="37" t="s">
        <v>126</v>
      </c>
      <c r="G42" s="37" t="s">
        <v>164</v>
      </c>
      <c r="H42" s="37" t="s">
        <v>183</v>
      </c>
      <c r="I42" s="37" t="s">
        <v>271</v>
      </c>
      <c r="J42" s="37" t="s">
        <v>227</v>
      </c>
      <c r="K42" s="37" t="s">
        <v>262</v>
      </c>
      <c r="L42" s="37">
        <v>5</v>
      </c>
      <c r="M42" s="37">
        <v>100</v>
      </c>
      <c r="N42" s="52" t="s">
        <v>285</v>
      </c>
      <c r="O42" s="38">
        <v>1.1999999999999999E-3</v>
      </c>
      <c r="P42" s="38">
        <f>O42*M42</f>
        <v>0.12</v>
      </c>
      <c r="Q42" s="37"/>
      <c r="R42" s="49"/>
    </row>
    <row r="43" spans="1:18" s="72" customFormat="1" x14ac:dyDescent="0.25">
      <c r="A43" s="70"/>
      <c r="B43" s="40">
        <f t="shared" si="0"/>
        <v>34</v>
      </c>
      <c r="C43" s="50" t="s">
        <v>17</v>
      </c>
      <c r="D43" s="44" t="s">
        <v>49</v>
      </c>
      <c r="E43" s="44" t="s">
        <v>94</v>
      </c>
      <c r="F43" s="44" t="s">
        <v>126</v>
      </c>
      <c r="G43" s="44" t="s">
        <v>165</v>
      </c>
      <c r="H43" s="44" t="s">
        <v>183</v>
      </c>
      <c r="I43" s="44" t="s">
        <v>271</v>
      </c>
      <c r="J43" s="44" t="s">
        <v>228</v>
      </c>
      <c r="K43" s="44" t="s">
        <v>263</v>
      </c>
      <c r="L43" s="44">
        <v>2</v>
      </c>
      <c r="M43" s="44">
        <v>100</v>
      </c>
      <c r="N43" s="53" t="s">
        <v>285</v>
      </c>
      <c r="O43" s="45">
        <v>3.0999999999999999E-3</v>
      </c>
      <c r="P43" s="45">
        <f t="shared" ref="P43" si="17">O43*M43</f>
        <v>0.31</v>
      </c>
      <c r="Q43" s="44"/>
      <c r="R43" s="49"/>
    </row>
    <row r="44" spans="1:18" s="72" customFormat="1" x14ac:dyDescent="0.25">
      <c r="A44" s="70"/>
      <c r="B44" s="39">
        <f>ROW(B44) - ROW($B$9)</f>
        <v>35</v>
      </c>
      <c r="C44" s="50" t="s">
        <v>17</v>
      </c>
      <c r="D44" s="37" t="s">
        <v>50</v>
      </c>
      <c r="E44" s="37" t="s">
        <v>95</v>
      </c>
      <c r="F44" s="37" t="s">
        <v>126</v>
      </c>
      <c r="G44" s="37" t="s">
        <v>166</v>
      </c>
      <c r="H44" s="37" t="s">
        <v>183</v>
      </c>
      <c r="I44" s="37" t="s">
        <v>271</v>
      </c>
      <c r="J44" s="37" t="s">
        <v>229</v>
      </c>
      <c r="K44" s="37" t="s">
        <v>264</v>
      </c>
      <c r="L44" s="37">
        <v>3</v>
      </c>
      <c r="M44" s="37">
        <v>100</v>
      </c>
      <c r="N44" s="52" t="s">
        <v>285</v>
      </c>
      <c r="O44" s="38">
        <v>1.1000000000000001E-3</v>
      </c>
      <c r="P44" s="38">
        <f>O44*M44</f>
        <v>0.11</v>
      </c>
      <c r="Q44" s="37"/>
      <c r="R44" s="49"/>
    </row>
    <row r="45" spans="1:18" s="72" customFormat="1" x14ac:dyDescent="0.25">
      <c r="A45" s="70"/>
      <c r="B45" s="40">
        <f t="shared" si="0"/>
        <v>36</v>
      </c>
      <c r="C45" s="50" t="s">
        <v>17</v>
      </c>
      <c r="D45" s="44" t="s">
        <v>51</v>
      </c>
      <c r="E45" s="44" t="s">
        <v>96</v>
      </c>
      <c r="F45" s="44" t="s">
        <v>126</v>
      </c>
      <c r="G45" s="44" t="s">
        <v>167</v>
      </c>
      <c r="H45" s="44" t="s">
        <v>183</v>
      </c>
      <c r="I45" s="44" t="s">
        <v>271</v>
      </c>
      <c r="J45" s="44" t="s">
        <v>230</v>
      </c>
      <c r="K45" s="44" t="s">
        <v>265</v>
      </c>
      <c r="L45" s="44">
        <v>2</v>
      </c>
      <c r="M45" s="44">
        <v>100</v>
      </c>
      <c r="N45" s="53" t="s">
        <v>285</v>
      </c>
      <c r="O45" s="45">
        <v>1.1999999999999999E-3</v>
      </c>
      <c r="P45" s="45">
        <f t="shared" ref="P45" si="18">O45*M45</f>
        <v>0.12</v>
      </c>
      <c r="Q45" s="44"/>
      <c r="R45" s="49"/>
    </row>
    <row r="46" spans="1:18" s="72" customFormat="1" x14ac:dyDescent="0.25">
      <c r="A46" s="70"/>
      <c r="B46" s="39">
        <f>ROW(B46) - ROW($B$9)</f>
        <v>37</v>
      </c>
      <c r="C46" s="50" t="s">
        <v>17</v>
      </c>
      <c r="D46" s="37" t="s">
        <v>52</v>
      </c>
      <c r="E46" s="37" t="s">
        <v>97</v>
      </c>
      <c r="F46" s="37" t="s">
        <v>126</v>
      </c>
      <c r="G46" s="37" t="s">
        <v>168</v>
      </c>
      <c r="H46" s="37" t="s">
        <v>183</v>
      </c>
      <c r="I46" s="37" t="s">
        <v>271</v>
      </c>
      <c r="J46" s="37" t="s">
        <v>231</v>
      </c>
      <c r="K46" s="37" t="s">
        <v>266</v>
      </c>
      <c r="L46" s="37">
        <v>2</v>
      </c>
      <c r="M46" s="37">
        <v>100</v>
      </c>
      <c r="N46" s="52" t="s">
        <v>285</v>
      </c>
      <c r="O46" s="38">
        <v>1.8E-3</v>
      </c>
      <c r="P46" s="38">
        <f>O46*M46</f>
        <v>0.18</v>
      </c>
      <c r="Q46" s="37"/>
      <c r="R46" s="49"/>
    </row>
    <row r="47" spans="1:18" s="72" customFormat="1" ht="24" x14ac:dyDescent="0.25">
      <c r="A47" s="70"/>
      <c r="B47" s="40">
        <f t="shared" si="0"/>
        <v>38</v>
      </c>
      <c r="C47" s="50" t="s">
        <v>17</v>
      </c>
      <c r="D47" s="44" t="s">
        <v>53</v>
      </c>
      <c r="E47" s="44" t="s">
        <v>98</v>
      </c>
      <c r="F47" s="44" t="s">
        <v>126</v>
      </c>
      <c r="G47" s="44" t="s">
        <v>169</v>
      </c>
      <c r="H47" s="44" t="s">
        <v>183</v>
      </c>
      <c r="I47" s="44" t="s">
        <v>271</v>
      </c>
      <c r="J47" s="44" t="s">
        <v>232</v>
      </c>
      <c r="K47" s="44" t="s">
        <v>267</v>
      </c>
      <c r="L47" s="44">
        <v>1</v>
      </c>
      <c r="M47" s="44">
        <v>20</v>
      </c>
      <c r="N47" s="53" t="s">
        <v>285</v>
      </c>
      <c r="O47" s="45">
        <v>2.75E-2</v>
      </c>
      <c r="P47" s="45">
        <f t="shared" ref="P47" si="19">O47*M47</f>
        <v>0.55000000000000004</v>
      </c>
      <c r="Q47" s="44"/>
      <c r="R47" s="49"/>
    </row>
    <row r="48" spans="1:18" s="72" customFormat="1" x14ac:dyDescent="0.25">
      <c r="A48" s="70"/>
      <c r="B48" s="39">
        <f>ROW(B48) - ROW($B$9)</f>
        <v>39</v>
      </c>
      <c r="C48" s="50" t="s">
        <v>17</v>
      </c>
      <c r="D48" s="37" t="s">
        <v>54</v>
      </c>
      <c r="E48" s="37" t="s">
        <v>99</v>
      </c>
      <c r="F48" s="37" t="s">
        <v>126</v>
      </c>
      <c r="G48" s="37" t="s">
        <v>170</v>
      </c>
      <c r="H48" s="37" t="s">
        <v>183</v>
      </c>
      <c r="I48" s="37" t="s">
        <v>271</v>
      </c>
      <c r="J48" s="37" t="s">
        <v>233</v>
      </c>
      <c r="K48" s="37" t="s">
        <v>268</v>
      </c>
      <c r="L48" s="37">
        <v>1</v>
      </c>
      <c r="M48" s="37">
        <v>50</v>
      </c>
      <c r="N48" s="52" t="s">
        <v>285</v>
      </c>
      <c r="O48" s="38">
        <v>8.8000000000000005E-3</v>
      </c>
      <c r="P48" s="38">
        <f>O48*M48</f>
        <v>0.44</v>
      </c>
      <c r="Q48" s="37"/>
      <c r="R48" s="49"/>
    </row>
    <row r="49" spans="1:19" s="72" customFormat="1" x14ac:dyDescent="0.25">
      <c r="A49" s="70"/>
      <c r="B49" s="39">
        <f>ROW(B49) - ROW($B$9)</f>
        <v>40</v>
      </c>
      <c r="C49" s="50" t="s">
        <v>127</v>
      </c>
      <c r="D49" s="54" t="s">
        <v>319</v>
      </c>
      <c r="E49" s="54" t="s">
        <v>100</v>
      </c>
      <c r="F49" s="54" t="s">
        <v>272</v>
      </c>
      <c r="G49" s="54" t="s">
        <v>127</v>
      </c>
      <c r="H49" s="55" t="s">
        <v>271</v>
      </c>
      <c r="I49" s="56" t="s">
        <v>271</v>
      </c>
      <c r="J49" s="56" t="s">
        <v>271</v>
      </c>
      <c r="K49" s="54" t="s">
        <v>271</v>
      </c>
      <c r="L49" s="54">
        <v>6</v>
      </c>
      <c r="M49" s="56" t="s">
        <v>271</v>
      </c>
      <c r="N49" s="56" t="s">
        <v>271</v>
      </c>
      <c r="O49" s="57" t="s">
        <v>271</v>
      </c>
      <c r="P49" s="57" t="s">
        <v>271</v>
      </c>
      <c r="Q49" s="54"/>
      <c r="R49" s="58"/>
    </row>
    <row r="50" spans="1:19" s="72" customFormat="1" ht="60" x14ac:dyDescent="0.25">
      <c r="A50" s="70"/>
      <c r="B50" s="40">
        <f t="shared" si="0"/>
        <v>41</v>
      </c>
      <c r="C50" s="51" t="s">
        <v>18</v>
      </c>
      <c r="D50" s="44" t="s">
        <v>320</v>
      </c>
      <c r="E50" s="44" t="s">
        <v>346</v>
      </c>
      <c r="F50" s="44" t="s">
        <v>272</v>
      </c>
      <c r="G50" s="44" t="s">
        <v>347</v>
      </c>
      <c r="H50" s="44" t="s">
        <v>272</v>
      </c>
      <c r="I50" s="44" t="s">
        <v>271</v>
      </c>
      <c r="J50" s="44" t="s">
        <v>348</v>
      </c>
      <c r="K50" s="37" t="s">
        <v>271</v>
      </c>
      <c r="L50" s="44">
        <v>2</v>
      </c>
      <c r="M50" s="44">
        <v>10</v>
      </c>
      <c r="N50" s="53" t="s">
        <v>285</v>
      </c>
      <c r="O50" s="45">
        <v>3.85E-2</v>
      </c>
      <c r="P50" s="45">
        <f t="shared" ref="P50:P52" si="20">O50*M50</f>
        <v>0.38500000000000001</v>
      </c>
      <c r="Q50" s="73" t="s">
        <v>349</v>
      </c>
      <c r="R50" s="49"/>
    </row>
    <row r="51" spans="1:19" ht="36" x14ac:dyDescent="0.25">
      <c r="A51" s="1"/>
      <c r="B51" s="39">
        <f>ROW(B51) - ROW($B$9)</f>
        <v>42</v>
      </c>
      <c r="C51" s="51" t="s">
        <v>18</v>
      </c>
      <c r="D51" s="37" t="s">
        <v>321</v>
      </c>
      <c r="E51" s="37" t="s">
        <v>322</v>
      </c>
      <c r="F51" s="37" t="s">
        <v>272</v>
      </c>
      <c r="G51" s="37" t="s">
        <v>323</v>
      </c>
      <c r="H51" s="37" t="s">
        <v>324</v>
      </c>
      <c r="I51" s="37" t="s">
        <v>271</v>
      </c>
      <c r="J51" s="37" t="s">
        <v>325</v>
      </c>
      <c r="K51" s="37" t="s">
        <v>271</v>
      </c>
      <c r="L51" s="37">
        <v>1</v>
      </c>
      <c r="M51" s="37">
        <v>2</v>
      </c>
      <c r="N51" s="52" t="s">
        <v>285</v>
      </c>
      <c r="O51" s="104">
        <v>0.42799999999999999</v>
      </c>
      <c r="P51" s="38">
        <f>O51*M51</f>
        <v>0.85599999999999998</v>
      </c>
      <c r="Q51" s="38"/>
      <c r="R51" s="37"/>
      <c r="S51" s="72"/>
    </row>
    <row r="52" spans="1:19" s="72" customFormat="1" ht="48" x14ac:dyDescent="0.25">
      <c r="A52" s="70"/>
      <c r="B52" s="40">
        <f>ROW(B52) - ROW($B$9)</f>
        <v>43</v>
      </c>
      <c r="C52" s="51" t="s">
        <v>18</v>
      </c>
      <c r="D52" s="44" t="s">
        <v>270</v>
      </c>
      <c r="E52" s="44" t="s">
        <v>107</v>
      </c>
      <c r="F52" s="44" t="s">
        <v>272</v>
      </c>
      <c r="G52" s="44" t="s">
        <v>134</v>
      </c>
      <c r="H52" s="44" t="s">
        <v>199</v>
      </c>
      <c r="I52" s="44" t="s">
        <v>271</v>
      </c>
      <c r="J52" s="44" t="s">
        <v>239</v>
      </c>
      <c r="K52" s="37" t="s">
        <v>271</v>
      </c>
      <c r="L52" s="44">
        <v>1</v>
      </c>
      <c r="M52" s="44">
        <v>10</v>
      </c>
      <c r="N52" s="53" t="s">
        <v>285</v>
      </c>
      <c r="O52" s="45">
        <v>6.2100000000000002E-2</v>
      </c>
      <c r="P52" s="45">
        <f t="shared" si="20"/>
        <v>0.621</v>
      </c>
      <c r="Q52" s="44"/>
      <c r="R52" s="49"/>
    </row>
    <row r="53" spans="1:19" s="72" customFormat="1" ht="36" x14ac:dyDescent="0.25">
      <c r="A53" s="70"/>
      <c r="B53" s="39">
        <f>ROW(B53) - ROW($B$9)</f>
        <v>44</v>
      </c>
      <c r="C53" s="50" t="s">
        <v>19</v>
      </c>
      <c r="D53" s="37" t="s">
        <v>55</v>
      </c>
      <c r="E53" s="37" t="s">
        <v>102</v>
      </c>
      <c r="F53" s="37" t="s">
        <v>129</v>
      </c>
      <c r="G53" s="37" t="s">
        <v>171</v>
      </c>
      <c r="H53" s="37" t="s">
        <v>194</v>
      </c>
      <c r="I53" s="37" t="s">
        <v>271</v>
      </c>
      <c r="J53" s="37" t="s">
        <v>235</v>
      </c>
      <c r="K53" s="37" t="s">
        <v>271</v>
      </c>
      <c r="L53" s="37">
        <v>1</v>
      </c>
      <c r="M53" s="37">
        <v>2</v>
      </c>
      <c r="N53" s="52" t="s">
        <v>285</v>
      </c>
      <c r="O53" s="38">
        <v>0.16209999999999999</v>
      </c>
      <c r="P53" s="38">
        <f>O53*M53</f>
        <v>0.32419999999999999</v>
      </c>
      <c r="Q53" s="37"/>
      <c r="R53" s="49"/>
    </row>
    <row r="54" spans="1:19" s="72" customFormat="1" x14ac:dyDescent="0.25">
      <c r="A54" s="70"/>
      <c r="B54" s="40">
        <f t="shared" si="0"/>
        <v>45</v>
      </c>
      <c r="C54" s="51" t="s">
        <v>19</v>
      </c>
      <c r="D54" s="44" t="s">
        <v>56</v>
      </c>
      <c r="E54" s="44" t="s">
        <v>103</v>
      </c>
      <c r="F54" s="44" t="s">
        <v>130</v>
      </c>
      <c r="G54" s="44" t="s">
        <v>172</v>
      </c>
      <c r="H54" s="44" t="s">
        <v>195</v>
      </c>
      <c r="I54" s="44" t="s">
        <v>271</v>
      </c>
      <c r="J54" s="44" t="s">
        <v>291</v>
      </c>
      <c r="K54" s="37" t="s">
        <v>271</v>
      </c>
      <c r="L54" s="44">
        <v>1</v>
      </c>
      <c r="M54" s="44">
        <v>5</v>
      </c>
      <c r="N54" s="53" t="s">
        <v>285</v>
      </c>
      <c r="O54" s="45">
        <v>0.1341</v>
      </c>
      <c r="P54" s="45">
        <f t="shared" ref="P54" si="21">O54*M54</f>
        <v>0.67049999999999998</v>
      </c>
      <c r="Q54" s="44"/>
      <c r="R54" s="49"/>
    </row>
    <row r="55" spans="1:19" s="72" customFormat="1" ht="24" x14ac:dyDescent="0.25">
      <c r="A55" s="70"/>
      <c r="B55" s="39">
        <f>ROW(B55) - ROW($B$9)</f>
        <v>46</v>
      </c>
      <c r="C55" s="50" t="s">
        <v>16</v>
      </c>
      <c r="D55" s="37" t="s">
        <v>57</v>
      </c>
      <c r="E55" s="37" t="s">
        <v>104</v>
      </c>
      <c r="F55" s="37" t="s">
        <v>131</v>
      </c>
      <c r="G55" s="37" t="s">
        <v>173</v>
      </c>
      <c r="H55" s="37" t="s">
        <v>196</v>
      </c>
      <c r="I55" s="37" t="s">
        <v>271</v>
      </c>
      <c r="J55" s="37" t="s">
        <v>236</v>
      </c>
      <c r="K55" s="37" t="s">
        <v>271</v>
      </c>
      <c r="L55" s="37">
        <v>1</v>
      </c>
      <c r="M55" s="37">
        <v>5</v>
      </c>
      <c r="N55" s="52" t="s">
        <v>285</v>
      </c>
      <c r="O55" s="38">
        <v>0.19539999999999999</v>
      </c>
      <c r="P55" s="38">
        <f>O55*M55</f>
        <v>0.97699999999999998</v>
      </c>
      <c r="Q55" s="37"/>
      <c r="R55" s="49"/>
    </row>
    <row r="56" spans="1:19" s="72" customFormat="1" ht="24" x14ac:dyDescent="0.25">
      <c r="A56" s="70"/>
      <c r="B56" s="40">
        <f t="shared" si="0"/>
        <v>47</v>
      </c>
      <c r="C56" s="51" t="s">
        <v>19</v>
      </c>
      <c r="D56" s="44" t="s">
        <v>58</v>
      </c>
      <c r="E56" s="44" t="s">
        <v>105</v>
      </c>
      <c r="F56" s="44" t="s">
        <v>132</v>
      </c>
      <c r="G56" s="44" t="s">
        <v>174</v>
      </c>
      <c r="H56" s="44" t="s">
        <v>197</v>
      </c>
      <c r="I56" s="44" t="s">
        <v>271</v>
      </c>
      <c r="J56" s="44" t="s">
        <v>237</v>
      </c>
      <c r="K56" s="37" t="s">
        <v>271</v>
      </c>
      <c r="L56" s="44">
        <v>1</v>
      </c>
      <c r="M56" s="44">
        <v>2</v>
      </c>
      <c r="N56" s="53" t="s">
        <v>285</v>
      </c>
      <c r="O56" s="45">
        <v>0.43909999999999999</v>
      </c>
      <c r="P56" s="45">
        <f t="shared" ref="P56" si="22">O56*M56</f>
        <v>0.87819999999999998</v>
      </c>
      <c r="Q56" s="44"/>
      <c r="R56" s="49"/>
    </row>
    <row r="57" spans="1:19" s="72" customFormat="1" ht="24" x14ac:dyDescent="0.25">
      <c r="A57" s="70"/>
      <c r="B57" s="39">
        <f>ROW(B57) - ROW($B$9)</f>
        <v>48</v>
      </c>
      <c r="C57" s="50" t="s">
        <v>19</v>
      </c>
      <c r="D57" s="37" t="s">
        <v>59</v>
      </c>
      <c r="E57" s="37" t="s">
        <v>106</v>
      </c>
      <c r="F57" s="37" t="s">
        <v>133</v>
      </c>
      <c r="G57" s="37" t="s">
        <v>175</v>
      </c>
      <c r="H57" s="37" t="s">
        <v>198</v>
      </c>
      <c r="I57" s="37" t="s">
        <v>271</v>
      </c>
      <c r="J57" s="37" t="s">
        <v>238</v>
      </c>
      <c r="K57" s="37" t="s">
        <v>271</v>
      </c>
      <c r="L57" s="37">
        <v>1</v>
      </c>
      <c r="M57" s="37">
        <v>5</v>
      </c>
      <c r="N57" s="52" t="s">
        <v>285</v>
      </c>
      <c r="O57" s="38">
        <v>0.15479999999999999</v>
      </c>
      <c r="P57" s="38">
        <f>O57*M57</f>
        <v>0.77400000000000002</v>
      </c>
      <c r="Q57" s="37"/>
      <c r="R57" s="49"/>
    </row>
    <row r="58" spans="1:19" s="72" customFormat="1" ht="24" x14ac:dyDescent="0.25">
      <c r="A58" s="70"/>
      <c r="B58" s="39">
        <f>ROW(B58) - ROW($B$9)</f>
        <v>49</v>
      </c>
      <c r="C58" s="50" t="s">
        <v>20</v>
      </c>
      <c r="D58" s="37" t="s">
        <v>60</v>
      </c>
      <c r="E58" s="37" t="s">
        <v>108</v>
      </c>
      <c r="F58" s="37" t="s">
        <v>135</v>
      </c>
      <c r="G58" s="37" t="s">
        <v>176</v>
      </c>
      <c r="H58" s="37" t="s">
        <v>200</v>
      </c>
      <c r="I58" s="37" t="s">
        <v>271</v>
      </c>
      <c r="J58" s="37" t="s">
        <v>240</v>
      </c>
      <c r="K58" s="37" t="s">
        <v>271</v>
      </c>
      <c r="L58" s="37">
        <v>1</v>
      </c>
      <c r="M58" s="37">
        <v>2</v>
      </c>
      <c r="N58" s="52" t="s">
        <v>285</v>
      </c>
      <c r="O58" s="103">
        <v>5.1212</v>
      </c>
      <c r="P58" s="38">
        <f>O58*M58</f>
        <v>10.2424</v>
      </c>
      <c r="Q58" s="37"/>
      <c r="R58" s="49"/>
    </row>
    <row r="59" spans="1:19" s="72" customFormat="1" ht="24" x14ac:dyDescent="0.25">
      <c r="A59" s="70"/>
      <c r="B59" s="40">
        <f t="shared" si="0"/>
        <v>50</v>
      </c>
      <c r="C59" s="51" t="s">
        <v>19</v>
      </c>
      <c r="D59" s="44" t="s">
        <v>61</v>
      </c>
      <c r="E59" s="44" t="s">
        <v>109</v>
      </c>
      <c r="F59" s="44" t="s">
        <v>136</v>
      </c>
      <c r="G59" s="44" t="s">
        <v>177</v>
      </c>
      <c r="H59" s="44" t="s">
        <v>201</v>
      </c>
      <c r="I59" s="44" t="s">
        <v>271</v>
      </c>
      <c r="J59" s="44" t="s">
        <v>241</v>
      </c>
      <c r="K59" s="37" t="s">
        <v>271</v>
      </c>
      <c r="L59" s="44">
        <v>1</v>
      </c>
      <c r="M59" s="44">
        <v>5</v>
      </c>
      <c r="N59" s="53" t="s">
        <v>285</v>
      </c>
      <c r="O59" s="45">
        <v>0.15670000000000001</v>
      </c>
      <c r="P59" s="45">
        <f t="shared" ref="P59" si="23">O59*M59</f>
        <v>0.78350000000000009</v>
      </c>
      <c r="Q59" s="44"/>
      <c r="R59" s="49"/>
    </row>
    <row r="60" spans="1:19" s="72" customFormat="1" ht="24" x14ac:dyDescent="0.25">
      <c r="A60" s="70"/>
      <c r="B60" s="39">
        <f>ROW(B60) - ROW($B$9)</f>
        <v>51</v>
      </c>
      <c r="C60" s="50" t="s">
        <v>19</v>
      </c>
      <c r="D60" s="37" t="s">
        <v>62</v>
      </c>
      <c r="E60" s="37" t="s">
        <v>110</v>
      </c>
      <c r="F60" s="37" t="s">
        <v>137</v>
      </c>
      <c r="G60" s="37" t="s">
        <v>178</v>
      </c>
      <c r="H60" s="37" t="s">
        <v>202</v>
      </c>
      <c r="I60" s="37" t="s">
        <v>271</v>
      </c>
      <c r="J60" s="37" t="s">
        <v>242</v>
      </c>
      <c r="K60" s="37" t="s">
        <v>271</v>
      </c>
      <c r="L60" s="37">
        <v>1</v>
      </c>
      <c r="M60" s="37">
        <v>2</v>
      </c>
      <c r="N60" s="52" t="s">
        <v>285</v>
      </c>
      <c r="O60" s="38">
        <v>0.96889999999999998</v>
      </c>
      <c r="P60" s="38">
        <f>O60*M60</f>
        <v>1.9378</v>
      </c>
      <c r="Q60" s="37"/>
      <c r="R60" s="49"/>
    </row>
    <row r="61" spans="1:19" s="72" customFormat="1" x14ac:dyDescent="0.25">
      <c r="A61" s="70"/>
      <c r="B61" s="40">
        <f t="shared" si="0"/>
        <v>52</v>
      </c>
      <c r="C61" s="51" t="s">
        <v>19</v>
      </c>
      <c r="D61" s="44" t="s">
        <v>63</v>
      </c>
      <c r="E61" s="44" t="s">
        <v>111</v>
      </c>
      <c r="F61" s="44" t="s">
        <v>138</v>
      </c>
      <c r="G61" s="44" t="s">
        <v>179</v>
      </c>
      <c r="H61" s="44" t="s">
        <v>203</v>
      </c>
      <c r="I61" s="44" t="s">
        <v>271</v>
      </c>
      <c r="J61" s="44" t="s">
        <v>243</v>
      </c>
      <c r="K61" s="37" t="s">
        <v>271</v>
      </c>
      <c r="L61" s="44">
        <v>1</v>
      </c>
      <c r="M61" s="44">
        <v>2</v>
      </c>
      <c r="N61" s="53" t="s">
        <v>285</v>
      </c>
      <c r="O61" s="45">
        <v>0.28870000000000001</v>
      </c>
      <c r="P61" s="45">
        <f t="shared" ref="P61" si="24">O61*M61</f>
        <v>0.57740000000000002</v>
      </c>
      <c r="Q61" s="44"/>
      <c r="R61" s="49"/>
    </row>
    <row r="62" spans="1:19" s="72" customFormat="1" ht="24" x14ac:dyDescent="0.25">
      <c r="A62" s="70"/>
      <c r="B62" s="39">
        <f>ROW(B62) - ROW($B$9)</f>
        <v>53</v>
      </c>
      <c r="C62" s="50" t="s">
        <v>19</v>
      </c>
      <c r="D62" s="37" t="s">
        <v>64</v>
      </c>
      <c r="E62" s="37" t="s">
        <v>112</v>
      </c>
      <c r="F62" s="37" t="s">
        <v>139</v>
      </c>
      <c r="G62" s="37" t="s">
        <v>180</v>
      </c>
      <c r="H62" s="37" t="s">
        <v>197</v>
      </c>
      <c r="I62" s="37" t="s">
        <v>271</v>
      </c>
      <c r="J62" s="37" t="s">
        <v>244</v>
      </c>
      <c r="K62" s="37" t="s">
        <v>271</v>
      </c>
      <c r="L62" s="37">
        <v>1</v>
      </c>
      <c r="M62" s="37">
        <v>2</v>
      </c>
      <c r="N62" s="52" t="s">
        <v>285</v>
      </c>
      <c r="O62" s="38">
        <v>2.0651000000000002</v>
      </c>
      <c r="P62" s="38">
        <f>O62*M62</f>
        <v>4.1302000000000003</v>
      </c>
      <c r="Q62" s="37"/>
      <c r="R62" s="49"/>
    </row>
    <row r="63" spans="1:19" s="72" customFormat="1" ht="24" x14ac:dyDescent="0.25">
      <c r="A63" s="70"/>
      <c r="B63" s="59">
        <f t="shared" si="0"/>
        <v>54</v>
      </c>
      <c r="C63" s="60" t="s">
        <v>19</v>
      </c>
      <c r="D63" s="49" t="s">
        <v>65</v>
      </c>
      <c r="E63" s="49" t="s">
        <v>113</v>
      </c>
      <c r="F63" s="49" t="s">
        <v>140</v>
      </c>
      <c r="G63" s="49" t="s">
        <v>181</v>
      </c>
      <c r="H63" s="49" t="s">
        <v>204</v>
      </c>
      <c r="I63" s="49" t="s">
        <v>271</v>
      </c>
      <c r="J63" s="49" t="s">
        <v>245</v>
      </c>
      <c r="K63" s="61" t="s">
        <v>271</v>
      </c>
      <c r="L63" s="49">
        <v>1</v>
      </c>
      <c r="M63" s="49">
        <v>2</v>
      </c>
      <c r="N63" s="62" t="s">
        <v>285</v>
      </c>
      <c r="O63" s="63">
        <v>1.2919</v>
      </c>
      <c r="P63" s="63">
        <f t="shared" ref="P63" si="25">O63*M63</f>
        <v>2.5838000000000001</v>
      </c>
      <c r="Q63" s="49"/>
      <c r="R63" s="49"/>
    </row>
    <row r="64" spans="1:19" s="72" customFormat="1" ht="25.5" x14ac:dyDescent="0.25">
      <c r="A64" s="70"/>
      <c r="B64" s="59">
        <f t="shared" si="0"/>
        <v>55</v>
      </c>
      <c r="C64" s="60" t="s">
        <v>333</v>
      </c>
      <c r="D64" s="49" t="s">
        <v>271</v>
      </c>
      <c r="E64" s="49" t="s">
        <v>271</v>
      </c>
      <c r="F64" s="49" t="s">
        <v>271</v>
      </c>
      <c r="G64" s="49" t="s">
        <v>271</v>
      </c>
      <c r="H64" s="49" t="s">
        <v>271</v>
      </c>
      <c r="I64" s="49" t="s">
        <v>271</v>
      </c>
      <c r="J64" s="49" t="s">
        <v>271</v>
      </c>
      <c r="K64" s="49" t="s">
        <v>271</v>
      </c>
      <c r="L64" s="49">
        <v>1</v>
      </c>
      <c r="M64" s="49"/>
      <c r="N64" s="49" t="s">
        <v>271</v>
      </c>
      <c r="O64" s="49" t="s">
        <v>271</v>
      </c>
      <c r="P64" s="49" t="s">
        <v>271</v>
      </c>
      <c r="Q64" s="89" t="s">
        <v>341</v>
      </c>
      <c r="R64" s="49"/>
    </row>
    <row r="65" spans="1:18" s="72" customFormat="1" ht="25.5" x14ac:dyDescent="0.25">
      <c r="A65" s="70"/>
      <c r="B65" s="59">
        <f t="shared" si="0"/>
        <v>56</v>
      </c>
      <c r="C65" s="60" t="s">
        <v>334</v>
      </c>
      <c r="D65" s="49" t="s">
        <v>271</v>
      </c>
      <c r="E65" s="49" t="s">
        <v>271</v>
      </c>
      <c r="F65" s="49" t="s">
        <v>271</v>
      </c>
      <c r="G65" s="49" t="s">
        <v>271</v>
      </c>
      <c r="H65" s="49" t="s">
        <v>271</v>
      </c>
      <c r="I65" s="49" t="s">
        <v>271</v>
      </c>
      <c r="J65" s="49" t="s">
        <v>271</v>
      </c>
      <c r="K65" s="49" t="s">
        <v>271</v>
      </c>
      <c r="L65" s="49">
        <v>1</v>
      </c>
      <c r="M65" s="49"/>
      <c r="N65" s="49" t="s">
        <v>271</v>
      </c>
      <c r="O65" s="49" t="s">
        <v>271</v>
      </c>
      <c r="P65" s="49" t="s">
        <v>271</v>
      </c>
      <c r="Q65" s="89" t="s">
        <v>341</v>
      </c>
      <c r="R65" s="49"/>
    </row>
    <row r="66" spans="1:18" s="72" customFormat="1" ht="25.5" x14ac:dyDescent="0.25">
      <c r="A66" s="70"/>
      <c r="B66" s="59">
        <f t="shared" si="0"/>
        <v>57</v>
      </c>
      <c r="C66" s="60" t="s">
        <v>340</v>
      </c>
      <c r="D66" s="49" t="s">
        <v>271</v>
      </c>
      <c r="E66" s="49" t="s">
        <v>271</v>
      </c>
      <c r="F66" s="49" t="s">
        <v>271</v>
      </c>
      <c r="G66" s="49" t="s">
        <v>271</v>
      </c>
      <c r="H66" s="49" t="s">
        <v>271</v>
      </c>
      <c r="I66" s="49" t="s">
        <v>271</v>
      </c>
      <c r="J66" s="49" t="s">
        <v>271</v>
      </c>
      <c r="K66" s="49"/>
      <c r="L66" s="49">
        <v>1</v>
      </c>
      <c r="M66" s="49"/>
      <c r="N66" s="49" t="s">
        <v>271</v>
      </c>
      <c r="O66" s="49" t="s">
        <v>271</v>
      </c>
      <c r="P66" s="49" t="s">
        <v>271</v>
      </c>
      <c r="Q66" s="89" t="s">
        <v>341</v>
      </c>
      <c r="R66" s="49"/>
    </row>
    <row r="67" spans="1:18" s="72" customFormat="1" ht="24.75" thickBot="1" x14ac:dyDescent="0.3">
      <c r="A67" s="70"/>
      <c r="B67" s="59">
        <f t="shared" si="0"/>
        <v>58</v>
      </c>
      <c r="C67" s="60" t="s">
        <v>335</v>
      </c>
      <c r="D67" s="49" t="s">
        <v>271</v>
      </c>
      <c r="E67" s="49" t="s">
        <v>336</v>
      </c>
      <c r="F67" s="49" t="s">
        <v>271</v>
      </c>
      <c r="G67" s="49" t="s">
        <v>337</v>
      </c>
      <c r="H67" s="49" t="s">
        <v>338</v>
      </c>
      <c r="I67" s="49" t="s">
        <v>271</v>
      </c>
      <c r="J67" s="49" t="s">
        <v>339</v>
      </c>
      <c r="K67" s="49" t="s">
        <v>271</v>
      </c>
      <c r="L67" s="49">
        <v>1</v>
      </c>
      <c r="M67" s="49">
        <v>2</v>
      </c>
      <c r="N67" s="62" t="s">
        <v>285</v>
      </c>
      <c r="O67" s="63">
        <v>0.1202</v>
      </c>
      <c r="P67" s="88">
        <f>O67*M67</f>
        <v>0.2404</v>
      </c>
      <c r="Q67" s="49"/>
      <c r="R67" s="49"/>
    </row>
    <row r="68" spans="1:18" ht="19.5" thickBot="1" x14ac:dyDescent="0.3">
      <c r="A68" s="1"/>
      <c r="B68" s="75"/>
      <c r="C68" s="76"/>
      <c r="D68" s="77"/>
      <c r="E68" s="78"/>
      <c r="F68" s="79"/>
      <c r="G68" s="80"/>
      <c r="H68" s="79"/>
      <c r="I68" s="80"/>
      <c r="J68" s="79"/>
      <c r="K68" s="80"/>
      <c r="L68" s="80"/>
      <c r="M68" s="111" t="s">
        <v>5</v>
      </c>
      <c r="N68" s="112"/>
      <c r="O68" s="112"/>
      <c r="P68" s="41">
        <f>SUM(P10:P67)</f>
        <v>47.058000000000014</v>
      </c>
      <c r="Q68" s="113"/>
      <c r="R68" s="114"/>
    </row>
  </sheetData>
  <mergeCells count="4">
    <mergeCell ref="K1:R1"/>
    <mergeCell ref="R3:R8"/>
    <mergeCell ref="M68:O68"/>
    <mergeCell ref="Q68:R68"/>
  </mergeCells>
  <hyperlinks>
    <hyperlink ref="N10" r:id="rId1"/>
    <hyperlink ref="N11" r:id="rId2"/>
    <hyperlink ref="N12" r:id="rId3"/>
    <hyperlink ref="N13" r:id="rId4"/>
    <hyperlink ref="N14" r:id="rId5"/>
    <hyperlink ref="N16" r:id="rId6"/>
    <hyperlink ref="N17" r:id="rId7"/>
    <hyperlink ref="N19" r:id="rId8"/>
    <hyperlink ref="N20" r:id="rId9"/>
    <hyperlink ref="N21" r:id="rId10"/>
    <hyperlink ref="N22" r:id="rId11"/>
    <hyperlink ref="N23" r:id="rId12"/>
    <hyperlink ref="N24" r:id="rId13"/>
    <hyperlink ref="N26" r:id="rId14"/>
    <hyperlink ref="N27" r:id="rId15"/>
    <hyperlink ref="N30" r:id="rId16"/>
    <hyperlink ref="N31" r:id="rId17"/>
    <hyperlink ref="N33" r:id="rId18"/>
    <hyperlink ref="N35" r:id="rId19"/>
    <hyperlink ref="N36" r:id="rId20"/>
    <hyperlink ref="N37" r:id="rId21"/>
    <hyperlink ref="N38" r:id="rId22"/>
    <hyperlink ref="N40" r:id="rId23"/>
    <hyperlink ref="N42" r:id="rId24"/>
    <hyperlink ref="N43" r:id="rId25"/>
    <hyperlink ref="N44" r:id="rId26"/>
    <hyperlink ref="N45" r:id="rId27"/>
    <hyperlink ref="N46" r:id="rId28"/>
    <hyperlink ref="N47" r:id="rId29"/>
    <hyperlink ref="N48" r:id="rId30"/>
    <hyperlink ref="N52" r:id="rId31"/>
    <hyperlink ref="N53" r:id="rId32"/>
    <hyperlink ref="N55" r:id="rId33"/>
    <hyperlink ref="N56" r:id="rId34"/>
    <hyperlink ref="N57" r:id="rId35"/>
    <hyperlink ref="N58" r:id="rId36"/>
    <hyperlink ref="N59" r:id="rId37"/>
    <hyperlink ref="N60" r:id="rId38"/>
    <hyperlink ref="N61" r:id="rId39"/>
    <hyperlink ref="N62" r:id="rId40"/>
    <hyperlink ref="N63" r:id="rId41"/>
    <hyperlink ref="N18" r:id="rId42"/>
    <hyperlink ref="N54" r:id="rId43"/>
    <hyperlink ref="N41" r:id="rId44"/>
    <hyperlink ref="N25" r:id="rId45"/>
    <hyperlink ref="N29" r:id="rId46"/>
    <hyperlink ref="N32" r:id="rId47"/>
    <hyperlink ref="N39" r:id="rId48"/>
    <hyperlink ref="N51" r:id="rId49"/>
    <hyperlink ref="N67" r:id="rId50"/>
    <hyperlink ref="N15" r:id="rId51"/>
    <hyperlink ref="N50" r:id="rId52"/>
  </hyperlinks>
  <pageMargins left="0.7" right="0.7" top="0.75" bottom="0.75" header="0.3" footer="0.3"/>
  <pageSetup orientation="portrait" r:id="rId53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0"/>
  <sheetViews>
    <sheetView topLeftCell="F1" workbookViewId="0">
      <selection activeCell="H15" sqref="H1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28515625" bestFit="1" customWidth="1"/>
    <col min="17" max="17" width="18.8554687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7"/>
      <c r="L1" s="107"/>
      <c r="M1" s="107"/>
      <c r="N1" s="107"/>
      <c r="O1" s="107"/>
      <c r="P1" s="107"/>
      <c r="Q1" s="107"/>
      <c r="R1" s="107"/>
      <c r="S1" s="108"/>
    </row>
    <row r="2" spans="1:19" ht="32.25" thickBot="1" x14ac:dyDescent="0.3">
      <c r="A2" s="1"/>
      <c r="B2" s="21"/>
      <c r="C2" s="31"/>
      <c r="D2" s="11" t="s">
        <v>0</v>
      </c>
      <c r="E2" s="11"/>
      <c r="F2" s="46" t="s">
        <v>283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47" t="s">
        <v>284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9"/>
    </row>
    <row r="4" spans="1:19" x14ac:dyDescent="0.25">
      <c r="A4" s="1"/>
      <c r="B4" s="22"/>
      <c r="C4" s="32"/>
      <c r="D4" s="13" t="s">
        <v>2</v>
      </c>
      <c r="E4" s="13"/>
      <c r="F4" s="47" t="s">
        <v>284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10"/>
    </row>
    <row r="5" spans="1:19" x14ac:dyDescent="0.25">
      <c r="A5" s="1"/>
      <c r="B5" s="22"/>
      <c r="C5" s="32"/>
      <c r="D5" s="13" t="s">
        <v>3</v>
      </c>
      <c r="E5" s="13"/>
      <c r="F5" s="4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10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10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10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10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66</v>
      </c>
      <c r="F9" s="30" t="s">
        <v>114</v>
      </c>
      <c r="G9" s="30" t="s">
        <v>141</v>
      </c>
      <c r="H9" s="30" t="s">
        <v>182</v>
      </c>
      <c r="I9" s="30" t="s">
        <v>275</v>
      </c>
      <c r="J9" s="30" t="s">
        <v>205</v>
      </c>
      <c r="K9" s="30" t="s">
        <v>274</v>
      </c>
      <c r="L9" s="30" t="s">
        <v>269</v>
      </c>
      <c r="M9" s="30" t="s">
        <v>276</v>
      </c>
      <c r="N9" s="90" t="s">
        <v>277</v>
      </c>
      <c r="O9" s="30" t="s">
        <v>278</v>
      </c>
      <c r="P9" s="95" t="s">
        <v>279</v>
      </c>
      <c r="Q9" s="30" t="s">
        <v>280</v>
      </c>
      <c r="R9" s="30" t="s">
        <v>281</v>
      </c>
      <c r="S9" s="30" t="s">
        <v>282</v>
      </c>
    </row>
    <row r="10" spans="1:19" x14ac:dyDescent="0.25">
      <c r="A10" s="1"/>
      <c r="B10" s="39">
        <f>ROW(B10) - ROW($B$9)</f>
        <v>1</v>
      </c>
      <c r="C10" s="50" t="s">
        <v>9</v>
      </c>
      <c r="D10" s="37" t="s">
        <v>288</v>
      </c>
      <c r="E10" s="37" t="s">
        <v>67</v>
      </c>
      <c r="F10" s="37" t="s">
        <v>115</v>
      </c>
      <c r="G10" s="37" t="s">
        <v>142</v>
      </c>
      <c r="H10" s="37" t="s">
        <v>183</v>
      </c>
      <c r="I10" s="37" t="s">
        <v>271</v>
      </c>
      <c r="J10" s="37" t="s">
        <v>206</v>
      </c>
      <c r="K10" s="37" t="s">
        <v>246</v>
      </c>
      <c r="L10" s="37">
        <v>3</v>
      </c>
      <c r="M10" s="37">
        <f>L10*5</f>
        <v>15</v>
      </c>
      <c r="N10" s="91">
        <v>50</v>
      </c>
      <c r="O10" s="52" t="s">
        <v>285</v>
      </c>
      <c r="P10" s="96">
        <v>1.89E-2</v>
      </c>
      <c r="Q10" s="81">
        <f>P10*N10</f>
        <v>0.94500000000000006</v>
      </c>
      <c r="R10" s="37"/>
      <c r="S10" s="43"/>
    </row>
    <row r="11" spans="1:19" x14ac:dyDescent="0.25">
      <c r="A11" s="1"/>
      <c r="B11" s="40">
        <f t="shared" ref="B11:B67" si="0">ROW(B11) - ROW($B$9)</f>
        <v>2</v>
      </c>
      <c r="C11" s="50" t="s">
        <v>9</v>
      </c>
      <c r="D11" s="44" t="s">
        <v>22</v>
      </c>
      <c r="E11" s="44" t="s">
        <v>68</v>
      </c>
      <c r="F11" s="44" t="s">
        <v>116</v>
      </c>
      <c r="G11" s="44" t="s">
        <v>143</v>
      </c>
      <c r="H11" s="44" t="s">
        <v>184</v>
      </c>
      <c r="I11" s="44" t="s">
        <v>271</v>
      </c>
      <c r="J11" s="44" t="s">
        <v>207</v>
      </c>
      <c r="K11" s="44" t="s">
        <v>247</v>
      </c>
      <c r="L11" s="44">
        <v>2</v>
      </c>
      <c r="M11" s="44">
        <f t="shared" ref="M11" si="1">L11*5</f>
        <v>10</v>
      </c>
      <c r="N11" s="84">
        <v>11</v>
      </c>
      <c r="O11" s="53" t="s">
        <v>285</v>
      </c>
      <c r="P11" s="97">
        <v>1.4064000000000001</v>
      </c>
      <c r="Q11" s="81">
        <f t="shared" ref="Q11:Q63" si="2">P11*N11</f>
        <v>15.470400000000001</v>
      </c>
      <c r="R11" s="44"/>
      <c r="S11" s="44"/>
    </row>
    <row r="12" spans="1:19" ht="24" x14ac:dyDescent="0.25">
      <c r="A12" s="1"/>
      <c r="B12" s="39">
        <f>ROW(B12) - ROW($B$9)</f>
        <v>3</v>
      </c>
      <c r="C12" s="50" t="s">
        <v>9</v>
      </c>
      <c r="D12" s="37" t="s">
        <v>23</v>
      </c>
      <c r="E12" s="37" t="s">
        <v>69</v>
      </c>
      <c r="F12" s="37" t="s">
        <v>115</v>
      </c>
      <c r="G12" s="37" t="s">
        <v>144</v>
      </c>
      <c r="H12" s="37" t="s">
        <v>183</v>
      </c>
      <c r="I12" s="37" t="s">
        <v>271</v>
      </c>
      <c r="J12" s="37" t="s">
        <v>208</v>
      </c>
      <c r="K12" s="37" t="s">
        <v>248</v>
      </c>
      <c r="L12" s="37">
        <v>14</v>
      </c>
      <c r="M12" s="37">
        <f>L12*5</f>
        <v>70</v>
      </c>
      <c r="N12" s="91">
        <v>100</v>
      </c>
      <c r="O12" s="52" t="s">
        <v>285</v>
      </c>
      <c r="P12" s="96">
        <v>5.0000000000000001E-3</v>
      </c>
      <c r="Q12" s="81">
        <f t="shared" si="2"/>
        <v>0.5</v>
      </c>
      <c r="R12" s="37"/>
      <c r="S12" s="49"/>
    </row>
    <row r="13" spans="1:19" x14ac:dyDescent="0.25">
      <c r="A13" s="1"/>
      <c r="B13" s="40">
        <f t="shared" si="0"/>
        <v>4</v>
      </c>
      <c r="C13" s="50" t="s">
        <v>9</v>
      </c>
      <c r="D13" s="44" t="s">
        <v>24</v>
      </c>
      <c r="E13" s="44" t="s">
        <v>70</v>
      </c>
      <c r="F13" s="44" t="s">
        <v>115</v>
      </c>
      <c r="G13" s="44" t="s">
        <v>145</v>
      </c>
      <c r="H13" s="44" t="s">
        <v>183</v>
      </c>
      <c r="I13" s="44" t="s">
        <v>271</v>
      </c>
      <c r="J13" s="44" t="s">
        <v>209</v>
      </c>
      <c r="K13" s="44" t="s">
        <v>249</v>
      </c>
      <c r="L13" s="44">
        <v>1</v>
      </c>
      <c r="M13" s="44">
        <f t="shared" ref="M13" si="3">L13*5</f>
        <v>5</v>
      </c>
      <c r="N13" s="84">
        <v>100</v>
      </c>
      <c r="O13" s="53" t="s">
        <v>285</v>
      </c>
      <c r="P13" s="97">
        <v>2.8E-3</v>
      </c>
      <c r="Q13" s="81">
        <f t="shared" si="2"/>
        <v>0.27999999999999997</v>
      </c>
      <c r="R13" s="44"/>
      <c r="S13" s="49"/>
    </row>
    <row r="14" spans="1:19" ht="48" x14ac:dyDescent="0.25">
      <c r="A14" s="1"/>
      <c r="B14" s="39">
        <f>ROW(B14) - ROW($B$9)</f>
        <v>5</v>
      </c>
      <c r="C14" s="50" t="s">
        <v>9</v>
      </c>
      <c r="D14" s="37" t="s">
        <v>300</v>
      </c>
      <c r="E14" s="37" t="s">
        <v>71</v>
      </c>
      <c r="F14" s="37" t="s">
        <v>117</v>
      </c>
      <c r="G14" s="37" t="s">
        <v>146</v>
      </c>
      <c r="H14" s="37" t="s">
        <v>183</v>
      </c>
      <c r="I14" s="37" t="s">
        <v>271</v>
      </c>
      <c r="J14" s="37" t="s">
        <v>210</v>
      </c>
      <c r="K14" s="37" t="s">
        <v>250</v>
      </c>
      <c r="L14" s="37">
        <v>22</v>
      </c>
      <c r="M14" s="37">
        <f>L14*5</f>
        <v>110</v>
      </c>
      <c r="N14" s="91">
        <v>200</v>
      </c>
      <c r="O14" s="52" t="s">
        <v>285</v>
      </c>
      <c r="P14" s="96">
        <v>1.8E-3</v>
      </c>
      <c r="Q14" s="81">
        <f t="shared" si="2"/>
        <v>0.36</v>
      </c>
      <c r="R14" s="37"/>
      <c r="S14" s="49"/>
    </row>
    <row r="15" spans="1:19" x14ac:dyDescent="0.25">
      <c r="A15" s="1"/>
      <c r="B15" s="40">
        <f t="shared" si="0"/>
        <v>6</v>
      </c>
      <c r="C15" s="50" t="s">
        <v>9</v>
      </c>
      <c r="D15" s="44" t="s">
        <v>25</v>
      </c>
      <c r="E15" s="44" t="s">
        <v>72</v>
      </c>
      <c r="F15" s="44" t="s">
        <v>115</v>
      </c>
      <c r="G15" s="56" t="s">
        <v>147</v>
      </c>
      <c r="H15" s="44" t="s">
        <v>183</v>
      </c>
      <c r="I15" s="44" t="s">
        <v>343</v>
      </c>
      <c r="J15" s="44" t="s">
        <v>344</v>
      </c>
      <c r="K15" s="44" t="s">
        <v>251</v>
      </c>
      <c r="L15" s="44">
        <v>2</v>
      </c>
      <c r="M15" s="44">
        <f t="shared" ref="M15" si="4">L15*5</f>
        <v>10</v>
      </c>
      <c r="N15" s="84">
        <v>20</v>
      </c>
      <c r="O15" s="53" t="s">
        <v>285</v>
      </c>
      <c r="P15" s="45">
        <v>1.77E-2</v>
      </c>
      <c r="Q15" s="81">
        <f t="shared" si="2"/>
        <v>0.35399999999999998</v>
      </c>
      <c r="R15" s="44"/>
      <c r="S15" s="49"/>
    </row>
    <row r="16" spans="1:19" x14ac:dyDescent="0.25">
      <c r="A16" s="1"/>
      <c r="B16" s="39">
        <f>ROW(B16) - ROW($B$9)</f>
        <v>7</v>
      </c>
      <c r="C16" s="50" t="s">
        <v>9</v>
      </c>
      <c r="D16" s="37" t="s">
        <v>26</v>
      </c>
      <c r="E16" s="37" t="s">
        <v>73</v>
      </c>
      <c r="F16" s="37" t="s">
        <v>118</v>
      </c>
      <c r="G16" s="37" t="s">
        <v>148</v>
      </c>
      <c r="H16" s="37" t="s">
        <v>185</v>
      </c>
      <c r="I16" s="37" t="s">
        <v>271</v>
      </c>
      <c r="J16" s="37" t="s">
        <v>211</v>
      </c>
      <c r="K16" s="37" t="s">
        <v>252</v>
      </c>
      <c r="L16" s="37">
        <v>2</v>
      </c>
      <c r="M16" s="37">
        <f>L16*5</f>
        <v>10</v>
      </c>
      <c r="N16" s="91">
        <v>15</v>
      </c>
      <c r="O16" s="52" t="s">
        <v>285</v>
      </c>
      <c r="P16" s="96">
        <v>0.42320000000000002</v>
      </c>
      <c r="Q16" s="81">
        <f t="shared" si="2"/>
        <v>6.3480000000000008</v>
      </c>
      <c r="R16" s="37"/>
      <c r="S16" s="49"/>
    </row>
    <row r="17" spans="1:19" x14ac:dyDescent="0.25">
      <c r="A17" s="1"/>
      <c r="B17" s="40">
        <f t="shared" si="0"/>
        <v>8</v>
      </c>
      <c r="C17" s="50" t="s">
        <v>9</v>
      </c>
      <c r="D17" s="44" t="s">
        <v>27</v>
      </c>
      <c r="E17" s="44" t="s">
        <v>74</v>
      </c>
      <c r="F17" s="44" t="s">
        <v>115</v>
      </c>
      <c r="G17" s="44" t="s">
        <v>149</v>
      </c>
      <c r="H17" s="44" t="s">
        <v>183</v>
      </c>
      <c r="I17" s="44" t="s">
        <v>271</v>
      </c>
      <c r="J17" s="44" t="s">
        <v>212</v>
      </c>
      <c r="K17" s="44" t="s">
        <v>253</v>
      </c>
      <c r="L17" s="44">
        <v>6</v>
      </c>
      <c r="M17" s="44">
        <f t="shared" ref="M17" si="5">L17*5</f>
        <v>30</v>
      </c>
      <c r="N17" s="84">
        <v>40</v>
      </c>
      <c r="O17" s="53" t="s">
        <v>285</v>
      </c>
      <c r="P17" s="97">
        <v>2.3800000000000002E-2</v>
      </c>
      <c r="Q17" s="81">
        <f t="shared" si="2"/>
        <v>0.95200000000000007</v>
      </c>
      <c r="R17" s="44"/>
      <c r="S17" s="49"/>
    </row>
    <row r="18" spans="1:19" x14ac:dyDescent="0.25">
      <c r="A18" s="1"/>
      <c r="B18" s="39">
        <f>ROW(B18) - ROW($B$9)</f>
        <v>9</v>
      </c>
      <c r="C18" s="50" t="s">
        <v>9</v>
      </c>
      <c r="D18" s="37" t="s">
        <v>28</v>
      </c>
      <c r="E18" s="37" t="s">
        <v>75</v>
      </c>
      <c r="F18" s="37" t="s">
        <v>117</v>
      </c>
      <c r="G18" s="54" t="s">
        <v>150</v>
      </c>
      <c r="H18" s="37" t="s">
        <v>186</v>
      </c>
      <c r="I18" s="37" t="s">
        <v>289</v>
      </c>
      <c r="J18" s="37" t="s">
        <v>290</v>
      </c>
      <c r="K18" s="37" t="s">
        <v>254</v>
      </c>
      <c r="L18" s="37">
        <v>3</v>
      </c>
      <c r="M18" s="37">
        <f>L18*5</f>
        <v>15</v>
      </c>
      <c r="N18" s="91">
        <v>50</v>
      </c>
      <c r="O18" s="52" t="s">
        <v>285</v>
      </c>
      <c r="P18" s="96">
        <v>5.4999999999999997E-3</v>
      </c>
      <c r="Q18" s="81">
        <f t="shared" si="2"/>
        <v>0.27499999999999997</v>
      </c>
      <c r="R18" s="37"/>
      <c r="S18" s="49"/>
    </row>
    <row r="19" spans="1:19" x14ac:dyDescent="0.25">
      <c r="A19" s="1"/>
      <c r="B19" s="40">
        <f t="shared" si="0"/>
        <v>10</v>
      </c>
      <c r="C19" s="50" t="s">
        <v>9</v>
      </c>
      <c r="D19" s="44" t="s">
        <v>29</v>
      </c>
      <c r="E19" s="44" t="s">
        <v>76</v>
      </c>
      <c r="F19" s="44" t="s">
        <v>115</v>
      </c>
      <c r="G19" s="44" t="s">
        <v>151</v>
      </c>
      <c r="H19" s="44" t="s">
        <v>183</v>
      </c>
      <c r="I19" s="44" t="s">
        <v>271</v>
      </c>
      <c r="J19" s="44" t="s">
        <v>213</v>
      </c>
      <c r="K19" s="44" t="s">
        <v>251</v>
      </c>
      <c r="L19" s="44">
        <v>1</v>
      </c>
      <c r="M19" s="44">
        <f t="shared" ref="M19" si="6">L19*5</f>
        <v>5</v>
      </c>
      <c r="N19" s="84">
        <v>20</v>
      </c>
      <c r="O19" s="53" t="s">
        <v>285</v>
      </c>
      <c r="P19" s="97">
        <v>2.0199999999999999E-2</v>
      </c>
      <c r="Q19" s="81">
        <f t="shared" si="2"/>
        <v>0.40399999999999997</v>
      </c>
      <c r="R19" s="44"/>
      <c r="S19" s="49"/>
    </row>
    <row r="20" spans="1:19" x14ac:dyDescent="0.25">
      <c r="A20" s="1"/>
      <c r="B20" s="40">
        <f t="shared" si="0"/>
        <v>11</v>
      </c>
      <c r="C20" s="50" t="s">
        <v>9</v>
      </c>
      <c r="D20" s="44" t="s">
        <v>30</v>
      </c>
      <c r="E20" s="44" t="s">
        <v>77</v>
      </c>
      <c r="F20" s="44" t="s">
        <v>115</v>
      </c>
      <c r="G20" s="44" t="s">
        <v>152</v>
      </c>
      <c r="H20" s="44" t="s">
        <v>183</v>
      </c>
      <c r="I20" s="44" t="s">
        <v>271</v>
      </c>
      <c r="J20" s="44" t="s">
        <v>214</v>
      </c>
      <c r="K20" s="44" t="s">
        <v>255</v>
      </c>
      <c r="L20" s="44">
        <v>2</v>
      </c>
      <c r="M20" s="44">
        <f t="shared" ref="M20" si="7">L20*5</f>
        <v>10</v>
      </c>
      <c r="N20" s="84">
        <v>100</v>
      </c>
      <c r="O20" s="53" t="s">
        <v>285</v>
      </c>
      <c r="P20" s="97">
        <v>3.7000000000000002E-3</v>
      </c>
      <c r="Q20" s="81">
        <f t="shared" si="2"/>
        <v>0.37</v>
      </c>
      <c r="R20" s="44"/>
      <c r="S20" s="49"/>
    </row>
    <row r="21" spans="1:19" x14ac:dyDescent="0.25">
      <c r="A21" s="1"/>
      <c r="B21" s="39">
        <f>ROW(B21) - ROW($B$9)</f>
        <v>12</v>
      </c>
      <c r="C21" s="50" t="s">
        <v>9</v>
      </c>
      <c r="D21" s="37" t="s">
        <v>31</v>
      </c>
      <c r="E21" s="37" t="s">
        <v>78</v>
      </c>
      <c r="F21" s="37" t="s">
        <v>115</v>
      </c>
      <c r="G21" s="37" t="s">
        <v>153</v>
      </c>
      <c r="H21" s="37" t="s">
        <v>183</v>
      </c>
      <c r="I21" s="37" t="s">
        <v>271</v>
      </c>
      <c r="J21" s="37" t="s">
        <v>215</v>
      </c>
      <c r="K21" s="37" t="s">
        <v>256</v>
      </c>
      <c r="L21" s="37">
        <v>2</v>
      </c>
      <c r="M21" s="37">
        <f>L21*5</f>
        <v>10</v>
      </c>
      <c r="N21" s="91">
        <v>100</v>
      </c>
      <c r="O21" s="52" t="s">
        <v>285</v>
      </c>
      <c r="P21" s="96">
        <v>4.4999999999999997E-3</v>
      </c>
      <c r="Q21" s="81">
        <f t="shared" si="2"/>
        <v>0.44999999999999996</v>
      </c>
      <c r="R21" s="37"/>
      <c r="S21" s="49"/>
    </row>
    <row r="22" spans="1:19" x14ac:dyDescent="0.25">
      <c r="A22" s="1"/>
      <c r="B22" s="40">
        <f t="shared" si="0"/>
        <v>13</v>
      </c>
      <c r="C22" s="50" t="s">
        <v>9</v>
      </c>
      <c r="D22" s="44" t="s">
        <v>32</v>
      </c>
      <c r="E22" s="44" t="s">
        <v>79</v>
      </c>
      <c r="F22" s="44" t="s">
        <v>115</v>
      </c>
      <c r="G22" s="44" t="s">
        <v>154</v>
      </c>
      <c r="H22" s="44" t="s">
        <v>183</v>
      </c>
      <c r="I22" s="44" t="s">
        <v>271</v>
      </c>
      <c r="J22" s="44" t="s">
        <v>216</v>
      </c>
      <c r="K22" s="44" t="s">
        <v>257</v>
      </c>
      <c r="L22" s="44">
        <v>1</v>
      </c>
      <c r="M22" s="44">
        <f t="shared" ref="M22" si="8">L22*5</f>
        <v>5</v>
      </c>
      <c r="N22" s="84">
        <v>100</v>
      </c>
      <c r="O22" s="53" t="s">
        <v>285</v>
      </c>
      <c r="P22" s="97">
        <v>3.2000000000000002E-3</v>
      </c>
      <c r="Q22" s="81">
        <f t="shared" si="2"/>
        <v>0.32</v>
      </c>
      <c r="R22" s="44"/>
      <c r="S22" s="49"/>
    </row>
    <row r="23" spans="1:19" ht="24" x14ac:dyDescent="0.25">
      <c r="A23" s="1"/>
      <c r="B23" s="39">
        <f>ROW(B23) - ROW($B$9)</f>
        <v>14</v>
      </c>
      <c r="C23" s="50" t="s">
        <v>10</v>
      </c>
      <c r="D23" s="44" t="s">
        <v>33</v>
      </c>
      <c r="E23" s="44" t="s">
        <v>80</v>
      </c>
      <c r="F23" s="44" t="s">
        <v>119</v>
      </c>
      <c r="G23" s="44" t="s">
        <v>155</v>
      </c>
      <c r="H23" s="44" t="s">
        <v>187</v>
      </c>
      <c r="I23" s="44" t="s">
        <v>271</v>
      </c>
      <c r="J23" s="44" t="s">
        <v>217</v>
      </c>
      <c r="K23" s="44" t="s">
        <v>271</v>
      </c>
      <c r="L23" s="44">
        <v>1</v>
      </c>
      <c r="M23" s="37">
        <f>L23*5</f>
        <v>5</v>
      </c>
      <c r="N23" s="91">
        <v>10</v>
      </c>
      <c r="O23" s="53" t="s">
        <v>285</v>
      </c>
      <c r="P23" s="97">
        <v>8.6400000000000005E-2</v>
      </c>
      <c r="Q23" s="81">
        <f t="shared" si="2"/>
        <v>0.8640000000000001</v>
      </c>
      <c r="R23" s="37"/>
      <c r="S23" s="49"/>
    </row>
    <row r="24" spans="1:19" ht="24" x14ac:dyDescent="0.25">
      <c r="A24" s="1"/>
      <c r="B24" s="40">
        <f t="shared" si="0"/>
        <v>15</v>
      </c>
      <c r="C24" s="50" t="s">
        <v>10</v>
      </c>
      <c r="D24" s="37" t="s">
        <v>34</v>
      </c>
      <c r="E24" s="37" t="s">
        <v>81</v>
      </c>
      <c r="F24" s="37" t="s">
        <v>120</v>
      </c>
      <c r="G24" s="37" t="s">
        <v>156</v>
      </c>
      <c r="H24" s="37" t="s">
        <v>188</v>
      </c>
      <c r="I24" s="37" t="s">
        <v>271</v>
      </c>
      <c r="J24" s="37" t="s">
        <v>218</v>
      </c>
      <c r="K24" s="37" t="s">
        <v>271</v>
      </c>
      <c r="L24" s="37">
        <v>1</v>
      </c>
      <c r="M24" s="44">
        <f t="shared" ref="M24" si="9">L24*5</f>
        <v>5</v>
      </c>
      <c r="N24" s="84">
        <v>10</v>
      </c>
      <c r="O24" s="52" t="s">
        <v>285</v>
      </c>
      <c r="P24" s="96">
        <v>2.63E-2</v>
      </c>
      <c r="Q24" s="81">
        <f t="shared" si="2"/>
        <v>0.26300000000000001</v>
      </c>
      <c r="R24" s="44"/>
      <c r="S24" s="49"/>
    </row>
    <row r="25" spans="1:19" ht="24" x14ac:dyDescent="0.25">
      <c r="A25" s="1"/>
      <c r="B25" s="39">
        <f>ROW(B25) - ROW($B$9)</f>
        <v>16</v>
      </c>
      <c r="C25" s="50" t="s">
        <v>10</v>
      </c>
      <c r="D25" s="44" t="s">
        <v>301</v>
      </c>
      <c r="E25" s="44" t="s">
        <v>302</v>
      </c>
      <c r="F25" s="44" t="s">
        <v>303</v>
      </c>
      <c r="G25" s="44" t="s">
        <v>304</v>
      </c>
      <c r="H25" s="44" t="s">
        <v>188</v>
      </c>
      <c r="I25" s="44" t="s">
        <v>271</v>
      </c>
      <c r="J25" s="44" t="s">
        <v>305</v>
      </c>
      <c r="K25" s="44" t="s">
        <v>271</v>
      </c>
      <c r="L25" s="44">
        <v>1</v>
      </c>
      <c r="M25" s="37">
        <f>L25*5</f>
        <v>5</v>
      </c>
      <c r="N25" s="91">
        <v>20</v>
      </c>
      <c r="O25" s="53" t="s">
        <v>285</v>
      </c>
      <c r="P25" s="85">
        <v>3.8100000000000002E-2</v>
      </c>
      <c r="Q25" s="81">
        <f t="shared" si="2"/>
        <v>0.76200000000000001</v>
      </c>
      <c r="R25" s="37"/>
      <c r="S25" s="49"/>
    </row>
    <row r="26" spans="1:19" x14ac:dyDescent="0.25">
      <c r="A26" s="1"/>
      <c r="B26" s="40">
        <f t="shared" si="0"/>
        <v>17</v>
      </c>
      <c r="C26" s="50" t="s">
        <v>11</v>
      </c>
      <c r="D26" s="37" t="s">
        <v>35</v>
      </c>
      <c r="E26" s="37" t="s">
        <v>82</v>
      </c>
      <c r="F26" s="37" t="s">
        <v>121</v>
      </c>
      <c r="G26" s="37" t="s">
        <v>157</v>
      </c>
      <c r="H26" s="37" t="s">
        <v>186</v>
      </c>
      <c r="I26" s="37" t="s">
        <v>271</v>
      </c>
      <c r="J26" s="37" t="s">
        <v>219</v>
      </c>
      <c r="K26" s="44" t="s">
        <v>271</v>
      </c>
      <c r="L26" s="37">
        <v>2</v>
      </c>
      <c r="M26" s="44">
        <f t="shared" ref="M26" si="10">L26*5</f>
        <v>10</v>
      </c>
      <c r="N26" s="84">
        <v>10</v>
      </c>
      <c r="O26" s="52" t="s">
        <v>285</v>
      </c>
      <c r="P26" s="96">
        <v>3.2199999999999999E-2</v>
      </c>
      <c r="Q26" s="81">
        <f t="shared" si="2"/>
        <v>0.32200000000000001</v>
      </c>
      <c r="R26" s="44"/>
      <c r="S26" s="49"/>
    </row>
    <row r="27" spans="1:19" x14ac:dyDescent="0.25">
      <c r="A27" s="1"/>
      <c r="B27" s="39">
        <f>ROW(B27) - ROW($B$9)</f>
        <v>18</v>
      </c>
      <c r="C27" s="51" t="s">
        <v>12</v>
      </c>
      <c r="D27" s="44" t="s">
        <v>36</v>
      </c>
      <c r="E27" s="44" t="s">
        <v>83</v>
      </c>
      <c r="F27" s="44" t="s">
        <v>121</v>
      </c>
      <c r="G27" s="44" t="s">
        <v>158</v>
      </c>
      <c r="H27" s="44" t="s">
        <v>186</v>
      </c>
      <c r="I27" s="44" t="s">
        <v>271</v>
      </c>
      <c r="J27" s="44" t="s">
        <v>220</v>
      </c>
      <c r="K27" s="44" t="s">
        <v>271</v>
      </c>
      <c r="L27" s="44">
        <v>1</v>
      </c>
      <c r="M27" s="37">
        <f>L27*5</f>
        <v>5</v>
      </c>
      <c r="N27" s="91">
        <v>20</v>
      </c>
      <c r="O27" s="53" t="s">
        <v>285</v>
      </c>
      <c r="P27" s="97">
        <v>8.8999999999999999E-3</v>
      </c>
      <c r="Q27" s="81">
        <f t="shared" si="2"/>
        <v>0.17799999999999999</v>
      </c>
      <c r="R27" s="37"/>
      <c r="S27" s="49"/>
    </row>
    <row r="28" spans="1:19" x14ac:dyDescent="0.25">
      <c r="A28" s="1"/>
      <c r="B28" s="40">
        <f t="shared" si="0"/>
        <v>19</v>
      </c>
      <c r="C28" s="51" t="s">
        <v>306</v>
      </c>
      <c r="D28" s="37" t="s">
        <v>37</v>
      </c>
      <c r="E28" s="37" t="s">
        <v>307</v>
      </c>
      <c r="F28" s="37" t="s">
        <v>272</v>
      </c>
      <c r="G28" s="37" t="s">
        <v>308</v>
      </c>
      <c r="H28" s="37"/>
      <c r="I28" s="37"/>
      <c r="J28" s="37"/>
      <c r="K28" s="37" t="s">
        <v>271</v>
      </c>
      <c r="L28" s="37">
        <v>1</v>
      </c>
      <c r="M28" s="44">
        <f t="shared" ref="M28" si="11">L28*5</f>
        <v>5</v>
      </c>
      <c r="N28" s="84">
        <v>50</v>
      </c>
      <c r="O28" s="52"/>
      <c r="P28" s="96"/>
      <c r="Q28" s="81">
        <f t="shared" si="2"/>
        <v>0</v>
      </c>
      <c r="R28" s="44"/>
      <c r="S28" s="49"/>
    </row>
    <row r="29" spans="1:19" ht="48" x14ac:dyDescent="0.25">
      <c r="A29" s="1"/>
      <c r="B29" s="39">
        <f>ROW(B29) - ROW($B$9)</f>
        <v>20</v>
      </c>
      <c r="C29" s="51" t="s">
        <v>13</v>
      </c>
      <c r="D29" s="44" t="s">
        <v>309</v>
      </c>
      <c r="E29" s="44" t="s">
        <v>310</v>
      </c>
      <c r="F29" s="44" t="s">
        <v>272</v>
      </c>
      <c r="G29" s="44" t="s">
        <v>311</v>
      </c>
      <c r="H29" s="44" t="s">
        <v>312</v>
      </c>
      <c r="I29" s="44" t="s">
        <v>271</v>
      </c>
      <c r="J29" s="44" t="s">
        <v>313</v>
      </c>
      <c r="K29" s="44" t="s">
        <v>271</v>
      </c>
      <c r="L29" s="44">
        <v>3</v>
      </c>
      <c r="M29" s="37">
        <f>L29*5</f>
        <v>15</v>
      </c>
      <c r="N29" s="91">
        <v>20</v>
      </c>
      <c r="O29" s="53" t="s">
        <v>285</v>
      </c>
      <c r="P29" s="97">
        <v>2.52E-2</v>
      </c>
      <c r="Q29" s="81">
        <f t="shared" si="2"/>
        <v>0.504</v>
      </c>
      <c r="R29" s="37"/>
      <c r="S29" s="49"/>
    </row>
    <row r="30" spans="1:19" x14ac:dyDescent="0.25">
      <c r="A30" s="1"/>
      <c r="B30" s="40">
        <f t="shared" si="0"/>
        <v>21</v>
      </c>
      <c r="C30" s="50" t="s">
        <v>14</v>
      </c>
      <c r="D30" s="37" t="s">
        <v>38</v>
      </c>
      <c r="E30" s="37" t="s">
        <v>84</v>
      </c>
      <c r="F30" s="37" t="s">
        <v>272</v>
      </c>
      <c r="G30" s="37" t="s">
        <v>122</v>
      </c>
      <c r="H30" s="37" t="s">
        <v>189</v>
      </c>
      <c r="I30" s="37" t="s">
        <v>271</v>
      </c>
      <c r="J30" s="37" t="s">
        <v>221</v>
      </c>
      <c r="K30" s="44" t="s">
        <v>271</v>
      </c>
      <c r="L30" s="37">
        <v>1</v>
      </c>
      <c r="M30" s="44">
        <f t="shared" ref="M30" si="12">L30*5</f>
        <v>5</v>
      </c>
      <c r="N30" s="84">
        <v>6</v>
      </c>
      <c r="O30" s="52" t="s">
        <v>285</v>
      </c>
      <c r="P30" s="96">
        <v>1.4796</v>
      </c>
      <c r="Q30" s="81">
        <f t="shared" si="2"/>
        <v>8.877600000000001</v>
      </c>
      <c r="R30" s="44"/>
      <c r="S30" s="49"/>
    </row>
    <row r="31" spans="1:19" x14ac:dyDescent="0.25">
      <c r="A31" s="1"/>
      <c r="B31" s="39">
        <f>ROW(B31) - ROW($B$9)</f>
        <v>22</v>
      </c>
      <c r="C31" s="51" t="s">
        <v>326</v>
      </c>
      <c r="D31" s="44" t="s">
        <v>39</v>
      </c>
      <c r="E31" s="44" t="s">
        <v>85</v>
      </c>
      <c r="F31" s="44" t="s">
        <v>272</v>
      </c>
      <c r="G31" s="44" t="s">
        <v>123</v>
      </c>
      <c r="H31" s="44" t="s">
        <v>189</v>
      </c>
      <c r="I31" s="44" t="s">
        <v>271</v>
      </c>
      <c r="J31" s="44" t="s">
        <v>286</v>
      </c>
      <c r="K31" s="44" t="s">
        <v>271</v>
      </c>
      <c r="L31" s="44">
        <v>1</v>
      </c>
      <c r="M31" s="37">
        <f>L31*5</f>
        <v>5</v>
      </c>
      <c r="N31" s="91">
        <v>6</v>
      </c>
      <c r="O31" s="53" t="s">
        <v>285</v>
      </c>
      <c r="P31" s="97">
        <v>0.9546</v>
      </c>
      <c r="Q31" s="81">
        <f t="shared" si="2"/>
        <v>5.7275999999999998</v>
      </c>
      <c r="R31" s="37"/>
      <c r="S31" s="49"/>
    </row>
    <row r="32" spans="1:19" ht="48" x14ac:dyDescent="0.25">
      <c r="A32" s="1"/>
      <c r="B32" s="40">
        <f t="shared" si="0"/>
        <v>23</v>
      </c>
      <c r="C32" s="50" t="s">
        <v>314</v>
      </c>
      <c r="D32" s="37" t="s">
        <v>315</v>
      </c>
      <c r="E32" s="37" t="s">
        <v>316</v>
      </c>
      <c r="F32" s="37" t="s">
        <v>272</v>
      </c>
      <c r="G32" s="37" t="s">
        <v>317</v>
      </c>
      <c r="H32" s="37" t="s">
        <v>312</v>
      </c>
      <c r="I32" s="37" t="s">
        <v>271</v>
      </c>
      <c r="J32" s="37" t="s">
        <v>318</v>
      </c>
      <c r="K32" s="37" t="s">
        <v>271</v>
      </c>
      <c r="L32" s="37">
        <v>1</v>
      </c>
      <c r="M32" s="44">
        <f t="shared" ref="M32" si="13">L32*5</f>
        <v>5</v>
      </c>
      <c r="N32" s="84">
        <v>6</v>
      </c>
      <c r="O32" s="52" t="s">
        <v>285</v>
      </c>
      <c r="P32" s="96">
        <v>3.8199999999999998E-2</v>
      </c>
      <c r="Q32" s="81">
        <f t="shared" si="2"/>
        <v>0.22919999999999999</v>
      </c>
      <c r="R32" s="44"/>
      <c r="S32" s="49"/>
    </row>
    <row r="33" spans="1:19" x14ac:dyDescent="0.25">
      <c r="A33" s="1"/>
      <c r="B33" s="39">
        <f>ROW(B33) - ROW($B$9)</f>
        <v>24</v>
      </c>
      <c r="C33" s="51" t="s">
        <v>12</v>
      </c>
      <c r="D33" s="44" t="s">
        <v>40</v>
      </c>
      <c r="E33" s="44" t="s">
        <v>86</v>
      </c>
      <c r="F33" s="37" t="s">
        <v>272</v>
      </c>
      <c r="G33" s="44" t="s">
        <v>124</v>
      </c>
      <c r="H33" s="44" t="s">
        <v>190</v>
      </c>
      <c r="I33" s="44" t="s">
        <v>271</v>
      </c>
      <c r="J33" s="44" t="s">
        <v>222</v>
      </c>
      <c r="K33" s="44" t="s">
        <v>271</v>
      </c>
      <c r="L33" s="44">
        <v>1</v>
      </c>
      <c r="M33" s="37">
        <f>L33*5</f>
        <v>5</v>
      </c>
      <c r="N33" s="91">
        <v>10</v>
      </c>
      <c r="O33" s="53" t="s">
        <v>285</v>
      </c>
      <c r="P33" s="97">
        <v>0.29110000000000003</v>
      </c>
      <c r="Q33" s="81">
        <f t="shared" si="2"/>
        <v>2.9110000000000005</v>
      </c>
      <c r="R33" s="37"/>
      <c r="S33" s="49"/>
    </row>
    <row r="34" spans="1:19" ht="24" x14ac:dyDescent="0.25">
      <c r="A34" s="1"/>
      <c r="B34" s="40">
        <f t="shared" si="0"/>
        <v>25</v>
      </c>
      <c r="C34" s="50" t="s">
        <v>15</v>
      </c>
      <c r="D34" s="54" t="s">
        <v>41</v>
      </c>
      <c r="E34" s="54" t="s">
        <v>87</v>
      </c>
      <c r="F34" s="54" t="s">
        <v>272</v>
      </c>
      <c r="G34" s="54" t="s">
        <v>273</v>
      </c>
      <c r="H34" s="55" t="s">
        <v>271</v>
      </c>
      <c r="I34" s="56" t="s">
        <v>271</v>
      </c>
      <c r="J34" s="56" t="s">
        <v>271</v>
      </c>
      <c r="K34" s="56" t="s">
        <v>271</v>
      </c>
      <c r="L34" s="54">
        <v>13</v>
      </c>
      <c r="M34" s="56">
        <f t="shared" ref="M34" si="14">L34*5</f>
        <v>65</v>
      </c>
      <c r="N34" s="92">
        <v>6</v>
      </c>
      <c r="O34" s="54" t="s">
        <v>271</v>
      </c>
      <c r="P34" s="98" t="s">
        <v>271</v>
      </c>
      <c r="Q34" s="82" t="s">
        <v>271</v>
      </c>
      <c r="R34" s="44"/>
      <c r="S34" s="49"/>
    </row>
    <row r="35" spans="1:19" ht="36" x14ac:dyDescent="0.25">
      <c r="A35" s="1"/>
      <c r="B35" s="39">
        <f>ROW(B35) - ROW($B$9)</f>
        <v>26</v>
      </c>
      <c r="C35" s="51" t="s">
        <v>16</v>
      </c>
      <c r="D35" s="44" t="s">
        <v>42</v>
      </c>
      <c r="E35" s="44" t="s">
        <v>88</v>
      </c>
      <c r="F35" s="44" t="s">
        <v>125</v>
      </c>
      <c r="G35" s="44" t="s">
        <v>159</v>
      </c>
      <c r="H35" s="44" t="s">
        <v>191</v>
      </c>
      <c r="I35" s="44" t="s">
        <v>271</v>
      </c>
      <c r="J35" s="44" t="s">
        <v>223</v>
      </c>
      <c r="K35" s="44" t="s">
        <v>271</v>
      </c>
      <c r="L35" s="44">
        <v>1</v>
      </c>
      <c r="M35" s="37">
        <f>L35*5</f>
        <v>5</v>
      </c>
      <c r="N35" s="91">
        <v>10</v>
      </c>
      <c r="O35" s="53" t="s">
        <v>285</v>
      </c>
      <c r="P35" s="97">
        <v>4.6899999999999997E-2</v>
      </c>
      <c r="Q35" s="81">
        <f t="shared" si="2"/>
        <v>0.46899999999999997</v>
      </c>
      <c r="R35" s="54"/>
      <c r="S35" s="58"/>
    </row>
    <row r="36" spans="1:19" x14ac:dyDescent="0.25">
      <c r="A36" s="1"/>
      <c r="B36" s="40">
        <f t="shared" si="0"/>
        <v>27</v>
      </c>
      <c r="C36" s="51" t="s">
        <v>16</v>
      </c>
      <c r="D36" s="37" t="s">
        <v>43</v>
      </c>
      <c r="E36" s="37" t="s">
        <v>89</v>
      </c>
      <c r="F36" s="37" t="s">
        <v>125</v>
      </c>
      <c r="G36" s="37" t="s">
        <v>160</v>
      </c>
      <c r="H36" s="37" t="s">
        <v>192</v>
      </c>
      <c r="I36" s="37" t="s">
        <v>271</v>
      </c>
      <c r="J36" s="37" t="s">
        <v>224</v>
      </c>
      <c r="K36" s="44" t="s">
        <v>271</v>
      </c>
      <c r="L36" s="37">
        <v>1</v>
      </c>
      <c r="M36" s="44">
        <f t="shared" ref="M36" si="15">L36*5</f>
        <v>5</v>
      </c>
      <c r="N36" s="84">
        <v>20</v>
      </c>
      <c r="O36" s="52" t="s">
        <v>285</v>
      </c>
      <c r="P36" s="96">
        <v>3.49E-2</v>
      </c>
      <c r="Q36" s="81">
        <f t="shared" si="2"/>
        <v>0.69799999999999995</v>
      </c>
      <c r="R36" s="44"/>
      <c r="S36" s="49"/>
    </row>
    <row r="37" spans="1:19" ht="24" x14ac:dyDescent="0.25">
      <c r="A37" s="1"/>
      <c r="B37" s="39">
        <f>ROW(B37) - ROW($B$9)</f>
        <v>28</v>
      </c>
      <c r="C37" s="50" t="s">
        <v>17</v>
      </c>
      <c r="D37" s="44" t="s">
        <v>331</v>
      </c>
      <c r="E37" s="44" t="s">
        <v>90</v>
      </c>
      <c r="F37" s="44" t="s">
        <v>126</v>
      </c>
      <c r="G37" s="44" t="s">
        <v>161</v>
      </c>
      <c r="H37" s="44" t="s">
        <v>183</v>
      </c>
      <c r="I37" s="44" t="s">
        <v>271</v>
      </c>
      <c r="J37" s="44" t="s">
        <v>225</v>
      </c>
      <c r="K37" s="44" t="s">
        <v>258</v>
      </c>
      <c r="L37" s="44">
        <v>11</v>
      </c>
      <c r="M37" s="37">
        <f>L37*5</f>
        <v>55</v>
      </c>
      <c r="N37" s="91">
        <v>100</v>
      </c>
      <c r="O37" s="53" t="s">
        <v>285</v>
      </c>
      <c r="P37" s="97">
        <v>1E-3</v>
      </c>
      <c r="Q37" s="81">
        <f t="shared" si="2"/>
        <v>0.1</v>
      </c>
      <c r="R37" s="73" t="s">
        <v>299</v>
      </c>
      <c r="S37" s="49"/>
    </row>
    <row r="38" spans="1:19" x14ac:dyDescent="0.25">
      <c r="A38" s="1"/>
      <c r="B38" s="40">
        <f t="shared" si="0"/>
        <v>29</v>
      </c>
      <c r="C38" s="50" t="s">
        <v>17</v>
      </c>
      <c r="D38" s="44" t="s">
        <v>44</v>
      </c>
      <c r="E38" s="44" t="s">
        <v>91</v>
      </c>
      <c r="F38" s="44" t="s">
        <v>126</v>
      </c>
      <c r="G38" s="44" t="s">
        <v>162</v>
      </c>
      <c r="H38" s="44" t="s">
        <v>183</v>
      </c>
      <c r="I38" s="44" t="s">
        <v>271</v>
      </c>
      <c r="J38" s="44" t="s">
        <v>287</v>
      </c>
      <c r="K38" s="44" t="s">
        <v>259</v>
      </c>
      <c r="L38" s="44">
        <v>3</v>
      </c>
      <c r="M38" s="44">
        <f t="shared" ref="M38" si="16">L38*5</f>
        <v>15</v>
      </c>
      <c r="N38" s="84">
        <v>100</v>
      </c>
      <c r="O38" s="53" t="s">
        <v>285</v>
      </c>
      <c r="P38" s="97">
        <v>1.1000000000000001E-3</v>
      </c>
      <c r="Q38" s="81">
        <f t="shared" si="2"/>
        <v>0.11</v>
      </c>
      <c r="R38" s="73"/>
      <c r="S38" s="49"/>
    </row>
    <row r="39" spans="1:19" x14ac:dyDescent="0.25">
      <c r="A39" s="1"/>
      <c r="B39" s="39">
        <f>ROW(B39) - ROW($B$9)</f>
        <v>30</v>
      </c>
      <c r="C39" s="50" t="s">
        <v>17</v>
      </c>
      <c r="D39" s="37" t="s">
        <v>45</v>
      </c>
      <c r="E39" s="44" t="s">
        <v>327</v>
      </c>
      <c r="F39" s="44" t="s">
        <v>126</v>
      </c>
      <c r="G39" s="44" t="s">
        <v>328</v>
      </c>
      <c r="H39" s="44" t="s">
        <v>183</v>
      </c>
      <c r="I39" s="44" t="s">
        <v>271</v>
      </c>
      <c r="J39" s="44" t="s">
        <v>329</v>
      </c>
      <c r="K39" s="44" t="s">
        <v>330</v>
      </c>
      <c r="L39" s="44">
        <v>1</v>
      </c>
      <c r="M39" s="37">
        <f>L39*5</f>
        <v>5</v>
      </c>
      <c r="N39" s="91">
        <v>100</v>
      </c>
      <c r="O39" s="52" t="s">
        <v>285</v>
      </c>
      <c r="P39" s="96">
        <v>1.2999999999999999E-3</v>
      </c>
      <c r="Q39" s="81">
        <f t="shared" si="2"/>
        <v>0.13</v>
      </c>
      <c r="R39" s="37"/>
      <c r="S39" s="49"/>
    </row>
    <row r="40" spans="1:19" x14ac:dyDescent="0.25">
      <c r="A40" s="1"/>
      <c r="B40" s="40">
        <f t="shared" si="0"/>
        <v>31</v>
      </c>
      <c r="C40" s="50" t="s">
        <v>17</v>
      </c>
      <c r="D40" s="37" t="s">
        <v>46</v>
      </c>
      <c r="E40" s="37" t="s">
        <v>92</v>
      </c>
      <c r="F40" s="37" t="s">
        <v>126</v>
      </c>
      <c r="G40" s="37" t="s">
        <v>163</v>
      </c>
      <c r="H40" s="37" t="s">
        <v>183</v>
      </c>
      <c r="I40" s="37" t="s">
        <v>271</v>
      </c>
      <c r="J40" s="37" t="s">
        <v>226</v>
      </c>
      <c r="K40" s="37" t="s">
        <v>260</v>
      </c>
      <c r="L40" s="37">
        <v>2</v>
      </c>
      <c r="M40" s="44">
        <f t="shared" ref="M40" si="17">L40*5</f>
        <v>10</v>
      </c>
      <c r="N40" s="84">
        <v>100</v>
      </c>
      <c r="O40" s="52" t="s">
        <v>285</v>
      </c>
      <c r="P40" s="96">
        <v>1.1000000000000001E-3</v>
      </c>
      <c r="Q40" s="81">
        <f t="shared" si="2"/>
        <v>0.11</v>
      </c>
      <c r="R40" s="44"/>
      <c r="S40" s="49"/>
    </row>
    <row r="41" spans="1:19" ht="24" x14ac:dyDescent="0.25">
      <c r="A41" s="1"/>
      <c r="B41" s="39">
        <f>ROW(B41) - ROW($B$9)</f>
        <v>32</v>
      </c>
      <c r="C41" s="50" t="s">
        <v>17</v>
      </c>
      <c r="D41" s="44" t="s">
        <v>47</v>
      </c>
      <c r="E41" s="44" t="s">
        <v>295</v>
      </c>
      <c r="F41" s="44" t="s">
        <v>292</v>
      </c>
      <c r="G41" s="56" t="s">
        <v>293</v>
      </c>
      <c r="H41" s="44" t="s">
        <v>183</v>
      </c>
      <c r="I41" s="44" t="s">
        <v>342</v>
      </c>
      <c r="J41" s="44" t="s">
        <v>332</v>
      </c>
      <c r="K41" s="44" t="s">
        <v>261</v>
      </c>
      <c r="L41" s="44">
        <v>1</v>
      </c>
      <c r="M41" s="37">
        <f>L41*5</f>
        <v>5</v>
      </c>
      <c r="N41" s="91">
        <v>50</v>
      </c>
      <c r="O41" s="53" t="s">
        <v>285</v>
      </c>
      <c r="P41" s="97">
        <v>5.4999999999999997E-3</v>
      </c>
      <c r="Q41" s="81">
        <f t="shared" si="2"/>
        <v>0.27499999999999997</v>
      </c>
      <c r="R41" s="37"/>
      <c r="S41" s="49"/>
    </row>
    <row r="42" spans="1:19" x14ac:dyDescent="0.25">
      <c r="A42" s="1"/>
      <c r="B42" s="39">
        <f>ROW(B42) - ROW($B$9)</f>
        <v>33</v>
      </c>
      <c r="C42" s="50" t="s">
        <v>17</v>
      </c>
      <c r="D42" s="37" t="s">
        <v>48</v>
      </c>
      <c r="E42" s="37" t="s">
        <v>93</v>
      </c>
      <c r="F42" s="37" t="s">
        <v>126</v>
      </c>
      <c r="G42" s="37" t="s">
        <v>164</v>
      </c>
      <c r="H42" s="37" t="s">
        <v>183</v>
      </c>
      <c r="I42" s="37" t="s">
        <v>271</v>
      </c>
      <c r="J42" s="37" t="s">
        <v>227</v>
      </c>
      <c r="K42" s="37" t="s">
        <v>262</v>
      </c>
      <c r="L42" s="37">
        <v>5</v>
      </c>
      <c r="M42" s="37">
        <f>L42*5</f>
        <v>25</v>
      </c>
      <c r="N42" s="91">
        <v>100</v>
      </c>
      <c r="O42" s="52" t="s">
        <v>285</v>
      </c>
      <c r="P42" s="96">
        <v>1.1999999999999999E-3</v>
      </c>
      <c r="Q42" s="81">
        <f t="shared" si="2"/>
        <v>0.12</v>
      </c>
      <c r="R42" s="37"/>
      <c r="S42" s="49"/>
    </row>
    <row r="43" spans="1:19" x14ac:dyDescent="0.25">
      <c r="A43" s="1"/>
      <c r="B43" s="40">
        <f t="shared" si="0"/>
        <v>34</v>
      </c>
      <c r="C43" s="50" t="s">
        <v>17</v>
      </c>
      <c r="D43" s="44" t="s">
        <v>49</v>
      </c>
      <c r="E43" s="44" t="s">
        <v>94</v>
      </c>
      <c r="F43" s="44" t="s">
        <v>126</v>
      </c>
      <c r="G43" s="44" t="s">
        <v>165</v>
      </c>
      <c r="H43" s="44" t="s">
        <v>183</v>
      </c>
      <c r="I43" s="44" t="s">
        <v>271</v>
      </c>
      <c r="J43" s="44" t="s">
        <v>228</v>
      </c>
      <c r="K43" s="44" t="s">
        <v>263</v>
      </c>
      <c r="L43" s="44">
        <v>2</v>
      </c>
      <c r="M43" s="44">
        <f t="shared" ref="M43" si="18">L43*5</f>
        <v>10</v>
      </c>
      <c r="N43" s="84">
        <v>100</v>
      </c>
      <c r="O43" s="53" t="s">
        <v>285</v>
      </c>
      <c r="P43" s="97">
        <v>3.0999999999999999E-3</v>
      </c>
      <c r="Q43" s="81">
        <f t="shared" si="2"/>
        <v>0.31</v>
      </c>
      <c r="R43" s="44"/>
      <c r="S43" s="49"/>
    </row>
    <row r="44" spans="1:19" x14ac:dyDescent="0.25">
      <c r="A44" s="1"/>
      <c r="B44" s="39">
        <f>ROW(B44) - ROW($B$9)</f>
        <v>35</v>
      </c>
      <c r="C44" s="50" t="s">
        <v>17</v>
      </c>
      <c r="D44" s="37" t="s">
        <v>50</v>
      </c>
      <c r="E44" s="37" t="s">
        <v>95</v>
      </c>
      <c r="F44" s="37" t="s">
        <v>126</v>
      </c>
      <c r="G44" s="37" t="s">
        <v>166</v>
      </c>
      <c r="H44" s="37" t="s">
        <v>183</v>
      </c>
      <c r="I44" s="37" t="s">
        <v>271</v>
      </c>
      <c r="J44" s="37" t="s">
        <v>229</v>
      </c>
      <c r="K44" s="37" t="s">
        <v>264</v>
      </c>
      <c r="L44" s="37">
        <v>3</v>
      </c>
      <c r="M44" s="37">
        <f>L44*5</f>
        <v>15</v>
      </c>
      <c r="N44" s="91">
        <v>100</v>
      </c>
      <c r="O44" s="52" t="s">
        <v>285</v>
      </c>
      <c r="P44" s="96">
        <v>1.1000000000000001E-3</v>
      </c>
      <c r="Q44" s="81">
        <f t="shared" si="2"/>
        <v>0.11</v>
      </c>
      <c r="R44" s="37"/>
      <c r="S44" s="49"/>
    </row>
    <row r="45" spans="1:19" x14ac:dyDescent="0.25">
      <c r="A45" s="1"/>
      <c r="B45" s="40">
        <f t="shared" si="0"/>
        <v>36</v>
      </c>
      <c r="C45" s="50" t="s">
        <v>17</v>
      </c>
      <c r="D45" s="44" t="s">
        <v>51</v>
      </c>
      <c r="E45" s="44" t="s">
        <v>96</v>
      </c>
      <c r="F45" s="44" t="s">
        <v>126</v>
      </c>
      <c r="G45" s="44" t="s">
        <v>167</v>
      </c>
      <c r="H45" s="44" t="s">
        <v>183</v>
      </c>
      <c r="I45" s="44" t="s">
        <v>271</v>
      </c>
      <c r="J45" s="44" t="s">
        <v>230</v>
      </c>
      <c r="K45" s="44" t="s">
        <v>265</v>
      </c>
      <c r="L45" s="44">
        <v>2</v>
      </c>
      <c r="M45" s="44">
        <f t="shared" ref="M45" si="19">L45*5</f>
        <v>10</v>
      </c>
      <c r="N45" s="84">
        <v>100</v>
      </c>
      <c r="O45" s="53" t="s">
        <v>285</v>
      </c>
      <c r="P45" s="97">
        <v>1.1999999999999999E-3</v>
      </c>
      <c r="Q45" s="81">
        <f t="shared" si="2"/>
        <v>0.12</v>
      </c>
      <c r="R45" s="44"/>
      <c r="S45" s="49"/>
    </row>
    <row r="46" spans="1:19" x14ac:dyDescent="0.25">
      <c r="A46" s="1"/>
      <c r="B46" s="39">
        <f>ROW(B46) - ROW($B$9)</f>
        <v>37</v>
      </c>
      <c r="C46" s="50" t="s">
        <v>17</v>
      </c>
      <c r="D46" s="37" t="s">
        <v>52</v>
      </c>
      <c r="E46" s="37" t="s">
        <v>97</v>
      </c>
      <c r="F46" s="37" t="s">
        <v>126</v>
      </c>
      <c r="G46" s="37" t="s">
        <v>168</v>
      </c>
      <c r="H46" s="37" t="s">
        <v>183</v>
      </c>
      <c r="I46" s="37" t="s">
        <v>271</v>
      </c>
      <c r="J46" s="37" t="s">
        <v>231</v>
      </c>
      <c r="K46" s="37" t="s">
        <v>266</v>
      </c>
      <c r="L46" s="37">
        <v>2</v>
      </c>
      <c r="M46" s="37">
        <f>L46*5</f>
        <v>10</v>
      </c>
      <c r="N46" s="91">
        <v>100</v>
      </c>
      <c r="O46" s="52" t="s">
        <v>285</v>
      </c>
      <c r="P46" s="96">
        <v>1.8E-3</v>
      </c>
      <c r="Q46" s="81">
        <f t="shared" si="2"/>
        <v>0.18</v>
      </c>
      <c r="R46" s="37"/>
      <c r="S46" s="49"/>
    </row>
    <row r="47" spans="1:19" x14ac:dyDescent="0.25">
      <c r="A47" s="1"/>
      <c r="B47" s="40">
        <f t="shared" si="0"/>
        <v>38</v>
      </c>
      <c r="C47" s="50" t="s">
        <v>17</v>
      </c>
      <c r="D47" s="44" t="s">
        <v>53</v>
      </c>
      <c r="E47" s="44" t="s">
        <v>98</v>
      </c>
      <c r="F47" s="44" t="s">
        <v>126</v>
      </c>
      <c r="G47" s="44" t="s">
        <v>169</v>
      </c>
      <c r="H47" s="44" t="s">
        <v>183</v>
      </c>
      <c r="I47" s="44" t="s">
        <v>271</v>
      </c>
      <c r="J47" s="44" t="s">
        <v>232</v>
      </c>
      <c r="K47" s="44" t="s">
        <v>267</v>
      </c>
      <c r="L47" s="44">
        <v>1</v>
      </c>
      <c r="M47" s="44">
        <f t="shared" ref="M47" si="20">L47*5</f>
        <v>5</v>
      </c>
      <c r="N47" s="84">
        <v>20</v>
      </c>
      <c r="O47" s="53" t="s">
        <v>285</v>
      </c>
      <c r="P47" s="97">
        <v>2.75E-2</v>
      </c>
      <c r="Q47" s="81">
        <f t="shared" si="2"/>
        <v>0.55000000000000004</v>
      </c>
      <c r="R47" s="44"/>
      <c r="S47" s="49"/>
    </row>
    <row r="48" spans="1:19" x14ac:dyDescent="0.25">
      <c r="A48" s="1"/>
      <c r="B48" s="39">
        <f>ROW(B48) - ROW($B$9)</f>
        <v>39</v>
      </c>
      <c r="C48" s="50" t="s">
        <v>17</v>
      </c>
      <c r="D48" s="37" t="s">
        <v>54</v>
      </c>
      <c r="E48" s="37" t="s">
        <v>99</v>
      </c>
      <c r="F48" s="37" t="s">
        <v>126</v>
      </c>
      <c r="G48" s="37" t="s">
        <v>170</v>
      </c>
      <c r="H48" s="37" t="s">
        <v>183</v>
      </c>
      <c r="I48" s="37" t="s">
        <v>271</v>
      </c>
      <c r="J48" s="37" t="s">
        <v>233</v>
      </c>
      <c r="K48" s="37" t="s">
        <v>268</v>
      </c>
      <c r="L48" s="37">
        <v>1</v>
      </c>
      <c r="M48" s="37">
        <f>L48*5</f>
        <v>5</v>
      </c>
      <c r="N48" s="91">
        <v>50</v>
      </c>
      <c r="O48" s="52" t="s">
        <v>285</v>
      </c>
      <c r="P48" s="96">
        <v>8.8000000000000005E-3</v>
      </c>
      <c r="Q48" s="81">
        <f t="shared" si="2"/>
        <v>0.44</v>
      </c>
      <c r="R48" s="37"/>
      <c r="S48" s="49"/>
    </row>
    <row r="49" spans="1:19" x14ac:dyDescent="0.25">
      <c r="A49" s="1"/>
      <c r="B49" s="40">
        <f t="shared" si="0"/>
        <v>40</v>
      </c>
      <c r="C49" s="50" t="s">
        <v>127</v>
      </c>
      <c r="D49" s="54" t="s">
        <v>319</v>
      </c>
      <c r="E49" s="54" t="s">
        <v>100</v>
      </c>
      <c r="F49" s="54" t="s">
        <v>272</v>
      </c>
      <c r="G49" s="54" t="s">
        <v>127</v>
      </c>
      <c r="H49" s="55" t="s">
        <v>271</v>
      </c>
      <c r="I49" s="56" t="s">
        <v>271</v>
      </c>
      <c r="J49" s="56" t="s">
        <v>271</v>
      </c>
      <c r="K49" s="54" t="s">
        <v>271</v>
      </c>
      <c r="L49" s="54">
        <v>6</v>
      </c>
      <c r="M49" s="44">
        <f t="shared" ref="M49" si="21">L49*5</f>
        <v>30</v>
      </c>
      <c r="N49" s="84">
        <v>20</v>
      </c>
      <c r="O49" s="56" t="s">
        <v>271</v>
      </c>
      <c r="P49" s="98" t="s">
        <v>271</v>
      </c>
      <c r="Q49" s="81" t="s">
        <v>271</v>
      </c>
      <c r="R49" s="44"/>
      <c r="S49" s="49"/>
    </row>
    <row r="50" spans="1:19" x14ac:dyDescent="0.25">
      <c r="A50" s="1"/>
      <c r="B50" s="39">
        <f>ROW(B50) - ROW($B$9)</f>
        <v>41</v>
      </c>
      <c r="C50" s="51" t="s">
        <v>18</v>
      </c>
      <c r="D50" s="44" t="s">
        <v>320</v>
      </c>
      <c r="E50" s="44" t="s">
        <v>101</v>
      </c>
      <c r="F50" s="44" t="s">
        <v>272</v>
      </c>
      <c r="G50" s="44" t="s">
        <v>128</v>
      </c>
      <c r="H50" s="44" t="s">
        <v>193</v>
      </c>
      <c r="I50" s="44" t="s">
        <v>271</v>
      </c>
      <c r="J50" s="44" t="s">
        <v>234</v>
      </c>
      <c r="K50" s="37" t="s">
        <v>271</v>
      </c>
      <c r="L50" s="44">
        <v>2</v>
      </c>
      <c r="M50" s="37">
        <f>L50*5</f>
        <v>10</v>
      </c>
      <c r="N50" s="91">
        <v>15</v>
      </c>
      <c r="O50" s="53" t="s">
        <v>285</v>
      </c>
      <c r="P50" s="97">
        <v>0.3135</v>
      </c>
      <c r="Q50" s="81">
        <f t="shared" si="2"/>
        <v>4.7024999999999997</v>
      </c>
      <c r="R50" s="37"/>
      <c r="S50" s="49"/>
    </row>
    <row r="51" spans="1:19" ht="36" x14ac:dyDescent="0.25">
      <c r="A51" s="1"/>
      <c r="B51" s="40">
        <f t="shared" si="0"/>
        <v>42</v>
      </c>
      <c r="C51" s="51" t="s">
        <v>18</v>
      </c>
      <c r="D51" s="37" t="s">
        <v>321</v>
      </c>
      <c r="E51" s="37" t="s">
        <v>322</v>
      </c>
      <c r="F51" s="37" t="s">
        <v>272</v>
      </c>
      <c r="G51" s="37" t="s">
        <v>323</v>
      </c>
      <c r="H51" s="37" t="s">
        <v>324</v>
      </c>
      <c r="I51" s="37" t="s">
        <v>271</v>
      </c>
      <c r="J51" s="37" t="s">
        <v>325</v>
      </c>
      <c r="K51" s="37" t="s">
        <v>271</v>
      </c>
      <c r="L51" s="37">
        <v>1</v>
      </c>
      <c r="M51" s="44">
        <f t="shared" ref="M51" si="22">L51*5</f>
        <v>5</v>
      </c>
      <c r="N51" s="84">
        <v>6</v>
      </c>
      <c r="O51" s="52" t="s">
        <v>285</v>
      </c>
      <c r="P51" s="99">
        <v>0.42799999999999999</v>
      </c>
      <c r="Q51" s="81">
        <f t="shared" si="2"/>
        <v>2.5680000000000001</v>
      </c>
      <c r="R51" s="44"/>
      <c r="S51" s="49"/>
    </row>
    <row r="52" spans="1:19" ht="48" x14ac:dyDescent="0.25">
      <c r="A52" s="1"/>
      <c r="B52" s="39">
        <f>ROW(B52) - ROW($B$9)</f>
        <v>43</v>
      </c>
      <c r="C52" s="51" t="s">
        <v>18</v>
      </c>
      <c r="D52" s="44" t="s">
        <v>270</v>
      </c>
      <c r="E52" s="44" t="s">
        <v>107</v>
      </c>
      <c r="F52" s="44" t="s">
        <v>272</v>
      </c>
      <c r="G52" s="44" t="s">
        <v>134</v>
      </c>
      <c r="H52" s="44" t="s">
        <v>199</v>
      </c>
      <c r="I52" s="44" t="s">
        <v>271</v>
      </c>
      <c r="J52" s="44" t="s">
        <v>239</v>
      </c>
      <c r="K52" s="37" t="s">
        <v>271</v>
      </c>
      <c r="L52" s="44">
        <v>1</v>
      </c>
      <c r="M52" s="37">
        <f>L52*5</f>
        <v>5</v>
      </c>
      <c r="N52" s="91">
        <v>10</v>
      </c>
      <c r="O52" s="53" t="s">
        <v>285</v>
      </c>
      <c r="P52" s="97">
        <v>6.2100000000000002E-2</v>
      </c>
      <c r="Q52" s="81">
        <f t="shared" si="2"/>
        <v>0.621</v>
      </c>
      <c r="R52" s="37"/>
      <c r="S52" s="49"/>
    </row>
    <row r="53" spans="1:19" ht="24" x14ac:dyDescent="0.25">
      <c r="A53" s="1"/>
      <c r="B53" s="40">
        <f t="shared" si="0"/>
        <v>44</v>
      </c>
      <c r="C53" s="50" t="s">
        <v>19</v>
      </c>
      <c r="D53" s="37" t="s">
        <v>55</v>
      </c>
      <c r="E53" s="37" t="s">
        <v>102</v>
      </c>
      <c r="F53" s="37" t="s">
        <v>129</v>
      </c>
      <c r="G53" s="37" t="s">
        <v>171</v>
      </c>
      <c r="H53" s="37" t="s">
        <v>194</v>
      </c>
      <c r="I53" s="37" t="s">
        <v>271</v>
      </c>
      <c r="J53" s="37" t="s">
        <v>235</v>
      </c>
      <c r="K53" s="37" t="s">
        <v>271</v>
      </c>
      <c r="L53" s="37">
        <v>1</v>
      </c>
      <c r="M53" s="44">
        <f t="shared" ref="M53" si="23">L53*5</f>
        <v>5</v>
      </c>
      <c r="N53" s="84">
        <v>6</v>
      </c>
      <c r="O53" s="52" t="s">
        <v>285</v>
      </c>
      <c r="P53" s="96">
        <v>0.16209999999999999</v>
      </c>
      <c r="Q53" s="81">
        <f t="shared" si="2"/>
        <v>0.97259999999999991</v>
      </c>
      <c r="R53" s="44"/>
      <c r="S53" s="49"/>
    </row>
    <row r="54" spans="1:19" x14ac:dyDescent="0.25">
      <c r="A54" s="1"/>
      <c r="B54" s="39">
        <f>ROW(B54) - ROW($B$9)</f>
        <v>45</v>
      </c>
      <c r="C54" s="51" t="s">
        <v>19</v>
      </c>
      <c r="D54" s="44" t="s">
        <v>56</v>
      </c>
      <c r="E54" s="44" t="s">
        <v>103</v>
      </c>
      <c r="F54" s="44" t="s">
        <v>130</v>
      </c>
      <c r="G54" s="44" t="s">
        <v>172</v>
      </c>
      <c r="H54" s="44" t="s">
        <v>195</v>
      </c>
      <c r="I54" s="44" t="s">
        <v>271</v>
      </c>
      <c r="J54" s="44" t="s">
        <v>291</v>
      </c>
      <c r="K54" s="37" t="s">
        <v>271</v>
      </c>
      <c r="L54" s="44">
        <v>1</v>
      </c>
      <c r="M54" s="37">
        <f>L54*5</f>
        <v>5</v>
      </c>
      <c r="N54" s="84">
        <v>10</v>
      </c>
      <c r="O54" s="53" t="s">
        <v>285</v>
      </c>
      <c r="P54" s="97">
        <v>0.1341</v>
      </c>
      <c r="Q54" s="81">
        <f t="shared" si="2"/>
        <v>1.341</v>
      </c>
      <c r="R54" s="54"/>
      <c r="S54" s="58"/>
    </row>
    <row r="55" spans="1:19" x14ac:dyDescent="0.25">
      <c r="A55" s="1"/>
      <c r="B55" s="40">
        <f t="shared" si="0"/>
        <v>46</v>
      </c>
      <c r="C55" s="50" t="s">
        <v>16</v>
      </c>
      <c r="D55" s="37" t="s">
        <v>57</v>
      </c>
      <c r="E55" s="37" t="s">
        <v>104</v>
      </c>
      <c r="F55" s="37" t="s">
        <v>131</v>
      </c>
      <c r="G55" s="37" t="s">
        <v>173</v>
      </c>
      <c r="H55" s="37" t="s">
        <v>196</v>
      </c>
      <c r="I55" s="37" t="s">
        <v>271</v>
      </c>
      <c r="J55" s="37" t="s">
        <v>236</v>
      </c>
      <c r="K55" s="37" t="s">
        <v>271</v>
      </c>
      <c r="L55" s="37">
        <v>1</v>
      </c>
      <c r="M55" s="44">
        <f t="shared" ref="M55" si="24">L55*5</f>
        <v>5</v>
      </c>
      <c r="N55" s="84">
        <v>10</v>
      </c>
      <c r="O55" s="52" t="s">
        <v>285</v>
      </c>
      <c r="P55" s="96">
        <v>0.19539999999999999</v>
      </c>
      <c r="Q55" s="81">
        <f t="shared" si="2"/>
        <v>1.954</v>
      </c>
      <c r="R55" s="44"/>
      <c r="S55" s="49"/>
    </row>
    <row r="56" spans="1:19" ht="24" x14ac:dyDescent="0.25">
      <c r="A56" s="1"/>
      <c r="B56" s="40">
        <f>ROW(B56) - ROW($B$9)</f>
        <v>47</v>
      </c>
      <c r="C56" s="51" t="s">
        <v>19</v>
      </c>
      <c r="D56" s="44" t="s">
        <v>58</v>
      </c>
      <c r="E56" s="44" t="s">
        <v>105</v>
      </c>
      <c r="F56" s="44" t="s">
        <v>132</v>
      </c>
      <c r="G56" s="44" t="s">
        <v>174</v>
      </c>
      <c r="H56" s="44" t="s">
        <v>197</v>
      </c>
      <c r="I56" s="44" t="s">
        <v>271</v>
      </c>
      <c r="J56" s="44" t="s">
        <v>237</v>
      </c>
      <c r="K56" s="37" t="s">
        <v>271</v>
      </c>
      <c r="L56" s="44">
        <v>1</v>
      </c>
      <c r="M56" s="44">
        <f t="shared" ref="M56" si="25">L56*5</f>
        <v>5</v>
      </c>
      <c r="N56" s="84">
        <v>6</v>
      </c>
      <c r="O56" s="53" t="s">
        <v>285</v>
      </c>
      <c r="P56" s="97">
        <v>0.43909999999999999</v>
      </c>
      <c r="Q56" s="81">
        <f t="shared" si="2"/>
        <v>2.6345999999999998</v>
      </c>
      <c r="R56" s="44"/>
      <c r="S56" s="49"/>
    </row>
    <row r="57" spans="1:19" ht="24" x14ac:dyDescent="0.25">
      <c r="A57" s="1"/>
      <c r="B57" s="39">
        <f>ROW(B57) - ROW($B$9)</f>
        <v>48</v>
      </c>
      <c r="C57" s="50" t="s">
        <v>19</v>
      </c>
      <c r="D57" s="37" t="s">
        <v>59</v>
      </c>
      <c r="E57" s="37" t="s">
        <v>106</v>
      </c>
      <c r="F57" s="37" t="s">
        <v>133</v>
      </c>
      <c r="G57" s="37" t="s">
        <v>175</v>
      </c>
      <c r="H57" s="37" t="s">
        <v>198</v>
      </c>
      <c r="I57" s="37" t="s">
        <v>271</v>
      </c>
      <c r="J57" s="37" t="s">
        <v>238</v>
      </c>
      <c r="K57" s="37" t="s">
        <v>271</v>
      </c>
      <c r="L57" s="37">
        <v>1</v>
      </c>
      <c r="M57" s="37">
        <f>L57*5</f>
        <v>5</v>
      </c>
      <c r="N57" s="91">
        <v>10</v>
      </c>
      <c r="O57" s="52" t="s">
        <v>285</v>
      </c>
      <c r="P57" s="96">
        <v>0.15479999999999999</v>
      </c>
      <c r="Q57" s="81">
        <f t="shared" si="2"/>
        <v>1.548</v>
      </c>
      <c r="R57" s="37"/>
      <c r="S57" s="49"/>
    </row>
    <row r="58" spans="1:19" x14ac:dyDescent="0.25">
      <c r="A58" s="1"/>
      <c r="B58" s="40">
        <f t="shared" si="0"/>
        <v>49</v>
      </c>
      <c r="C58" s="50" t="s">
        <v>20</v>
      </c>
      <c r="D58" s="37" t="s">
        <v>60</v>
      </c>
      <c r="E58" s="37" t="s">
        <v>108</v>
      </c>
      <c r="F58" s="37" t="s">
        <v>135</v>
      </c>
      <c r="G58" s="37" t="s">
        <v>176</v>
      </c>
      <c r="H58" s="37" t="s">
        <v>200</v>
      </c>
      <c r="I58" s="37" t="s">
        <v>271</v>
      </c>
      <c r="J58" s="37" t="s">
        <v>240</v>
      </c>
      <c r="K58" s="37" t="s">
        <v>271</v>
      </c>
      <c r="L58" s="37">
        <v>1</v>
      </c>
      <c r="M58" s="44">
        <f t="shared" ref="M58" si="26">L58*5</f>
        <v>5</v>
      </c>
      <c r="N58" s="84">
        <v>6</v>
      </c>
      <c r="O58" s="52" t="s">
        <v>285</v>
      </c>
      <c r="P58" s="96">
        <v>5.1212</v>
      </c>
      <c r="Q58" s="81">
        <f t="shared" si="2"/>
        <v>30.7272</v>
      </c>
      <c r="R58" s="44"/>
      <c r="S58" s="49"/>
    </row>
    <row r="59" spans="1:19" ht="24" x14ac:dyDescent="0.25">
      <c r="A59" s="1"/>
      <c r="B59" s="39">
        <f>ROW(B59) - ROW($B$9)</f>
        <v>50</v>
      </c>
      <c r="C59" s="51" t="s">
        <v>19</v>
      </c>
      <c r="D59" s="44" t="s">
        <v>61</v>
      </c>
      <c r="E59" s="44" t="s">
        <v>109</v>
      </c>
      <c r="F59" s="44" t="s">
        <v>136</v>
      </c>
      <c r="G59" s="44" t="s">
        <v>177</v>
      </c>
      <c r="H59" s="44" t="s">
        <v>201</v>
      </c>
      <c r="I59" s="44" t="s">
        <v>271</v>
      </c>
      <c r="J59" s="44" t="s">
        <v>241</v>
      </c>
      <c r="K59" s="37" t="s">
        <v>271</v>
      </c>
      <c r="L59" s="44">
        <v>1</v>
      </c>
      <c r="M59" s="37">
        <f>L59*5</f>
        <v>5</v>
      </c>
      <c r="N59" s="91">
        <v>10</v>
      </c>
      <c r="O59" s="53" t="s">
        <v>285</v>
      </c>
      <c r="P59" s="97">
        <v>0.15670000000000001</v>
      </c>
      <c r="Q59" s="81">
        <f t="shared" si="2"/>
        <v>1.5670000000000002</v>
      </c>
      <c r="R59" s="37"/>
      <c r="S59" s="49"/>
    </row>
    <row r="60" spans="1:19" ht="24" x14ac:dyDescent="0.25">
      <c r="A60" s="1"/>
      <c r="B60" s="40">
        <f t="shared" si="0"/>
        <v>51</v>
      </c>
      <c r="C60" s="50" t="s">
        <v>19</v>
      </c>
      <c r="D60" s="37" t="s">
        <v>62</v>
      </c>
      <c r="E60" s="37" t="s">
        <v>110</v>
      </c>
      <c r="F60" s="37" t="s">
        <v>137</v>
      </c>
      <c r="G60" s="37" t="s">
        <v>178</v>
      </c>
      <c r="H60" s="37" t="s">
        <v>202</v>
      </c>
      <c r="I60" s="37" t="s">
        <v>271</v>
      </c>
      <c r="J60" s="37" t="s">
        <v>242</v>
      </c>
      <c r="K60" s="37" t="s">
        <v>271</v>
      </c>
      <c r="L60" s="37">
        <v>1</v>
      </c>
      <c r="M60" s="44">
        <f t="shared" ref="M60" si="27">L60*5</f>
        <v>5</v>
      </c>
      <c r="N60" s="84">
        <v>6</v>
      </c>
      <c r="O60" s="52" t="s">
        <v>285</v>
      </c>
      <c r="P60" s="96">
        <v>0.96889999999999998</v>
      </c>
      <c r="Q60" s="81">
        <f t="shared" si="2"/>
        <v>5.8133999999999997</v>
      </c>
      <c r="R60" s="44"/>
      <c r="S60" s="49"/>
    </row>
    <row r="61" spans="1:19" x14ac:dyDescent="0.25">
      <c r="A61" s="1"/>
      <c r="B61" s="39">
        <f>ROW(B61) - ROW($B$9)</f>
        <v>52</v>
      </c>
      <c r="C61" s="51" t="s">
        <v>19</v>
      </c>
      <c r="D61" s="44" t="s">
        <v>63</v>
      </c>
      <c r="E61" s="44" t="s">
        <v>111</v>
      </c>
      <c r="F61" s="44" t="s">
        <v>138</v>
      </c>
      <c r="G61" s="44" t="s">
        <v>179</v>
      </c>
      <c r="H61" s="44" t="s">
        <v>203</v>
      </c>
      <c r="I61" s="44" t="s">
        <v>271</v>
      </c>
      <c r="J61" s="44" t="s">
        <v>243</v>
      </c>
      <c r="K61" s="37" t="s">
        <v>271</v>
      </c>
      <c r="L61" s="44">
        <v>1</v>
      </c>
      <c r="M61" s="37">
        <f>L61*5</f>
        <v>5</v>
      </c>
      <c r="N61" s="91">
        <v>6</v>
      </c>
      <c r="O61" s="53" t="s">
        <v>285</v>
      </c>
      <c r="P61" s="97">
        <v>0.28870000000000001</v>
      </c>
      <c r="Q61" s="81">
        <f t="shared" si="2"/>
        <v>1.7322000000000002</v>
      </c>
      <c r="R61" s="37"/>
      <c r="S61" s="49"/>
    </row>
    <row r="62" spans="1:19" x14ac:dyDescent="0.25">
      <c r="A62" s="1"/>
      <c r="B62" s="39">
        <f>ROW(B62) - ROW($B$9)</f>
        <v>53</v>
      </c>
      <c r="C62" s="50" t="s">
        <v>19</v>
      </c>
      <c r="D62" s="37" t="s">
        <v>64</v>
      </c>
      <c r="E62" s="37" t="s">
        <v>112</v>
      </c>
      <c r="F62" s="37" t="s">
        <v>139</v>
      </c>
      <c r="G62" s="37" t="s">
        <v>180</v>
      </c>
      <c r="H62" s="37" t="s">
        <v>197</v>
      </c>
      <c r="I62" s="37" t="s">
        <v>271</v>
      </c>
      <c r="J62" s="37" t="s">
        <v>244</v>
      </c>
      <c r="K62" s="37" t="s">
        <v>271</v>
      </c>
      <c r="L62" s="37">
        <v>1</v>
      </c>
      <c r="M62" s="37">
        <f>L62*5</f>
        <v>5</v>
      </c>
      <c r="N62" s="91">
        <v>6</v>
      </c>
      <c r="O62" s="52" t="s">
        <v>285</v>
      </c>
      <c r="P62" s="96">
        <v>2.0651000000000002</v>
      </c>
      <c r="Q62" s="81">
        <f t="shared" si="2"/>
        <v>12.390600000000001</v>
      </c>
      <c r="R62" s="37"/>
      <c r="S62" s="49"/>
    </row>
    <row r="63" spans="1:19" ht="24" x14ac:dyDescent="0.25">
      <c r="A63" s="1"/>
      <c r="B63" s="40">
        <f t="shared" si="0"/>
        <v>54</v>
      </c>
      <c r="C63" s="60" t="s">
        <v>19</v>
      </c>
      <c r="D63" s="49" t="s">
        <v>65</v>
      </c>
      <c r="E63" s="49" t="s">
        <v>113</v>
      </c>
      <c r="F63" s="49" t="s">
        <v>140</v>
      </c>
      <c r="G63" s="49" t="s">
        <v>181</v>
      </c>
      <c r="H63" s="49" t="s">
        <v>204</v>
      </c>
      <c r="I63" s="49" t="s">
        <v>271</v>
      </c>
      <c r="J63" s="49" t="s">
        <v>245</v>
      </c>
      <c r="K63" s="61" t="s">
        <v>271</v>
      </c>
      <c r="L63" s="49">
        <v>1</v>
      </c>
      <c r="M63" s="49">
        <f t="shared" ref="M63:M67" si="28">L63*5</f>
        <v>5</v>
      </c>
      <c r="N63" s="93">
        <v>6</v>
      </c>
      <c r="O63" s="62" t="s">
        <v>285</v>
      </c>
      <c r="P63" s="100">
        <v>1.2919</v>
      </c>
      <c r="Q63" s="86">
        <f t="shared" si="2"/>
        <v>7.7514000000000003</v>
      </c>
      <c r="R63" s="49"/>
      <c r="S63" s="49"/>
    </row>
    <row r="64" spans="1:19" x14ac:dyDescent="0.25">
      <c r="A64" s="1"/>
      <c r="B64" s="40">
        <f t="shared" si="0"/>
        <v>55</v>
      </c>
      <c r="C64" s="60" t="s">
        <v>333</v>
      </c>
      <c r="D64" s="49" t="s">
        <v>271</v>
      </c>
      <c r="E64" s="49" t="s">
        <v>271</v>
      </c>
      <c r="F64" s="49" t="s">
        <v>271</v>
      </c>
      <c r="G64" s="49" t="s">
        <v>271</v>
      </c>
      <c r="H64" s="49" t="s">
        <v>271</v>
      </c>
      <c r="I64" s="49" t="s">
        <v>271</v>
      </c>
      <c r="J64" s="49" t="s">
        <v>271</v>
      </c>
      <c r="K64" s="49" t="s">
        <v>271</v>
      </c>
      <c r="L64" s="49">
        <v>1</v>
      </c>
      <c r="M64" s="49">
        <f t="shared" si="28"/>
        <v>5</v>
      </c>
      <c r="N64" s="94" t="s">
        <v>271</v>
      </c>
      <c r="O64" s="53" t="s">
        <v>271</v>
      </c>
      <c r="P64" s="101" t="s">
        <v>271</v>
      </c>
      <c r="Q64" s="87" t="s">
        <v>271</v>
      </c>
      <c r="R64" s="83"/>
      <c r="S64" s="83"/>
    </row>
    <row r="65" spans="1:19" x14ac:dyDescent="0.25">
      <c r="A65" s="1"/>
      <c r="B65" s="40">
        <f t="shared" si="0"/>
        <v>56</v>
      </c>
      <c r="C65" s="60" t="s">
        <v>334</v>
      </c>
      <c r="D65" s="49" t="s">
        <v>271</v>
      </c>
      <c r="E65" s="49" t="s">
        <v>271</v>
      </c>
      <c r="F65" s="49" t="s">
        <v>271</v>
      </c>
      <c r="G65" s="49" t="s">
        <v>271</v>
      </c>
      <c r="H65" s="49" t="s">
        <v>271</v>
      </c>
      <c r="I65" s="49" t="s">
        <v>271</v>
      </c>
      <c r="J65" s="49" t="s">
        <v>271</v>
      </c>
      <c r="K65" s="49" t="s">
        <v>271</v>
      </c>
      <c r="L65" s="49">
        <v>1</v>
      </c>
      <c r="M65" s="49">
        <f t="shared" si="28"/>
        <v>5</v>
      </c>
      <c r="N65" s="91" t="s">
        <v>271</v>
      </c>
      <c r="O65" s="52" t="s">
        <v>271</v>
      </c>
      <c r="P65" s="96" t="s">
        <v>271</v>
      </c>
      <c r="Q65" s="81" t="s">
        <v>271</v>
      </c>
      <c r="R65" s="37"/>
      <c r="S65" s="49"/>
    </row>
    <row r="66" spans="1:19" x14ac:dyDescent="0.25">
      <c r="A66" s="1"/>
      <c r="B66" s="40">
        <f t="shared" si="0"/>
        <v>57</v>
      </c>
      <c r="C66" s="60" t="s">
        <v>340</v>
      </c>
      <c r="D66" s="49" t="s">
        <v>271</v>
      </c>
      <c r="E66" s="49" t="s">
        <v>271</v>
      </c>
      <c r="F66" s="49" t="s">
        <v>271</v>
      </c>
      <c r="G66" s="49" t="s">
        <v>271</v>
      </c>
      <c r="H66" s="49" t="s">
        <v>271</v>
      </c>
      <c r="I66" s="49" t="s">
        <v>271</v>
      </c>
      <c r="J66" s="49" t="s">
        <v>271</v>
      </c>
      <c r="K66" s="49" t="s">
        <v>271</v>
      </c>
      <c r="L66" s="49">
        <v>1</v>
      </c>
      <c r="M66" s="49">
        <f t="shared" si="28"/>
        <v>5</v>
      </c>
      <c r="N66" s="91" t="s">
        <v>271</v>
      </c>
      <c r="O66" s="52" t="s">
        <v>271</v>
      </c>
      <c r="P66" s="96" t="s">
        <v>271</v>
      </c>
      <c r="Q66" s="81" t="s">
        <v>271</v>
      </c>
      <c r="R66" s="37"/>
      <c r="S66" s="49"/>
    </row>
    <row r="67" spans="1:19" ht="30.75" thickBot="1" x14ac:dyDescent="0.3">
      <c r="A67" s="1"/>
      <c r="B67" s="40">
        <f t="shared" si="0"/>
        <v>58</v>
      </c>
      <c r="C67" s="60" t="s">
        <v>335</v>
      </c>
      <c r="D67" s="49" t="s">
        <v>271</v>
      </c>
      <c r="E67" s="49" t="s">
        <v>336</v>
      </c>
      <c r="F67" s="49" t="s">
        <v>271</v>
      </c>
      <c r="G67" s="49" t="s">
        <v>337</v>
      </c>
      <c r="H67" s="49" t="s">
        <v>338</v>
      </c>
      <c r="I67" s="49" t="s">
        <v>271</v>
      </c>
      <c r="J67" s="49" t="s">
        <v>339</v>
      </c>
      <c r="K67" s="49" t="s">
        <v>271</v>
      </c>
      <c r="L67" s="49">
        <v>1</v>
      </c>
      <c r="M67" s="49">
        <f t="shared" si="28"/>
        <v>5</v>
      </c>
      <c r="N67" s="91">
        <v>6</v>
      </c>
      <c r="O67" s="102" t="s">
        <v>285</v>
      </c>
      <c r="P67" s="96">
        <v>0.1202</v>
      </c>
      <c r="Q67" s="81">
        <f>P67*N67</f>
        <v>0.72120000000000006</v>
      </c>
      <c r="R67" s="37"/>
      <c r="S67" s="49"/>
    </row>
    <row r="68" spans="1:19" ht="19.5" thickBot="1" x14ac:dyDescent="0.3">
      <c r="A68" s="1"/>
      <c r="B68" s="64"/>
      <c r="C68" s="65"/>
      <c r="D68" s="66"/>
      <c r="E68" s="67"/>
      <c r="F68" s="68"/>
      <c r="G68" s="69"/>
      <c r="H68" s="68"/>
      <c r="I68" s="69"/>
      <c r="J68" s="68"/>
      <c r="K68" s="69"/>
      <c r="L68" s="69"/>
      <c r="M68" s="69"/>
      <c r="N68" s="111" t="s">
        <v>5</v>
      </c>
      <c r="O68" s="112"/>
      <c r="P68" s="112"/>
      <c r="Q68" s="41">
        <f>SUM(Q10:Q67)</f>
        <v>128.43350000000001</v>
      </c>
      <c r="R68" s="115"/>
      <c r="S68" s="116"/>
    </row>
    <row r="69" spans="1:19" ht="19.5" thickBot="1" x14ac:dyDescent="0.3">
      <c r="A69" s="1"/>
      <c r="B69" s="25"/>
      <c r="C69" s="36"/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11" t="s">
        <v>6</v>
      </c>
      <c r="O69" s="112"/>
      <c r="P69" s="112"/>
      <c r="Q69" s="42">
        <f>Q68/5</f>
        <v>25.686700000000002</v>
      </c>
      <c r="R69" s="117"/>
      <c r="S69" s="118"/>
    </row>
    <row r="70" spans="1:19" x14ac:dyDescent="0.25">
      <c r="P70" s="74"/>
    </row>
  </sheetData>
  <mergeCells count="5">
    <mergeCell ref="K1:S1"/>
    <mergeCell ref="S3:S8"/>
    <mergeCell ref="R68:S69"/>
    <mergeCell ref="N68:P68"/>
    <mergeCell ref="N69:P69"/>
  </mergeCells>
  <hyperlinks>
    <hyperlink ref="O10" r:id="rId1"/>
    <hyperlink ref="O11" r:id="rId2"/>
    <hyperlink ref="O12" r:id="rId3"/>
    <hyperlink ref="O13" r:id="rId4"/>
    <hyperlink ref="O14" r:id="rId5"/>
    <hyperlink ref="O16" r:id="rId6"/>
    <hyperlink ref="O17" r:id="rId7"/>
    <hyperlink ref="O19" r:id="rId8"/>
    <hyperlink ref="O20" r:id="rId9"/>
    <hyperlink ref="O21" r:id="rId10"/>
    <hyperlink ref="O22" r:id="rId11"/>
    <hyperlink ref="O23" r:id="rId12"/>
    <hyperlink ref="O24" r:id="rId13"/>
    <hyperlink ref="O26" r:id="rId14"/>
    <hyperlink ref="O27" r:id="rId15"/>
    <hyperlink ref="O30" r:id="rId16"/>
    <hyperlink ref="O31" r:id="rId17"/>
    <hyperlink ref="O33" r:id="rId18"/>
    <hyperlink ref="O35" r:id="rId19"/>
    <hyperlink ref="O36" r:id="rId20"/>
    <hyperlink ref="O37" r:id="rId21"/>
    <hyperlink ref="O38" r:id="rId22"/>
    <hyperlink ref="O40" r:id="rId23"/>
    <hyperlink ref="O42" r:id="rId24"/>
    <hyperlink ref="O43" r:id="rId25"/>
    <hyperlink ref="O44" r:id="rId26"/>
    <hyperlink ref="O45" r:id="rId27"/>
    <hyperlink ref="O46" r:id="rId28"/>
    <hyperlink ref="O47" r:id="rId29"/>
    <hyperlink ref="O48" r:id="rId30"/>
    <hyperlink ref="O50" r:id="rId31"/>
    <hyperlink ref="O52" r:id="rId32"/>
    <hyperlink ref="O53" r:id="rId33"/>
    <hyperlink ref="O55" r:id="rId34"/>
    <hyperlink ref="O56" r:id="rId35"/>
    <hyperlink ref="O57" r:id="rId36"/>
    <hyperlink ref="O58" r:id="rId37"/>
    <hyperlink ref="O59" r:id="rId38"/>
    <hyperlink ref="O60" r:id="rId39"/>
    <hyperlink ref="O61" r:id="rId40"/>
    <hyperlink ref="O62" r:id="rId41"/>
    <hyperlink ref="O63" r:id="rId42"/>
    <hyperlink ref="O18" r:id="rId43"/>
    <hyperlink ref="O54" r:id="rId44"/>
    <hyperlink ref="O25" r:id="rId45"/>
    <hyperlink ref="O29" r:id="rId46"/>
    <hyperlink ref="O32" r:id="rId47"/>
    <hyperlink ref="O39" r:id="rId48"/>
    <hyperlink ref="O51" r:id="rId49"/>
    <hyperlink ref="O41" r:id="rId50"/>
    <hyperlink ref="O67" r:id="rId51"/>
    <hyperlink ref="O15" r:id="rId52"/>
  </hyperlinks>
  <pageMargins left="0.7" right="0.7" top="0.75" bottom="0.75" header="0.3" footer="0.3"/>
  <pageSetup paperSize="9" orientation="portrait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Board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2023-02-13T16:14:08Z</dcterms:modified>
</cp:coreProperties>
</file>