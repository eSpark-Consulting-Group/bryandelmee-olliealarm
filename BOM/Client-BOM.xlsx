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L64" i="1" l="1"/>
  <c r="L65" i="1"/>
  <c r="L66" i="1"/>
  <c r="L67" i="1"/>
  <c r="B67" i="1"/>
  <c r="B66" i="2"/>
  <c r="B67" i="2"/>
  <c r="B64" i="1"/>
  <c r="B65" i="1"/>
  <c r="B66" i="1"/>
  <c r="B64" i="2"/>
  <c r="B65" i="2"/>
  <c r="B51" i="2" l="1"/>
  <c r="B25" i="2"/>
  <c r="B63" i="2" l="1"/>
  <c r="B62" i="2"/>
  <c r="B61" i="2"/>
  <c r="B60" i="2"/>
  <c r="B59" i="2"/>
  <c r="B58" i="2"/>
  <c r="B57" i="2"/>
  <c r="B56" i="2"/>
  <c r="B55" i="2"/>
  <c r="B54" i="2"/>
  <c r="B53" i="2"/>
  <c r="B52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L63" i="1" l="1"/>
  <c r="B63" i="1"/>
  <c r="L62" i="1"/>
  <c r="B62" i="1"/>
  <c r="L56" i="1"/>
  <c r="B56" i="1"/>
  <c r="L61" i="1"/>
  <c r="B61" i="1"/>
  <c r="L60" i="1"/>
  <c r="B60" i="1"/>
  <c r="L59" i="1"/>
  <c r="B59" i="1"/>
  <c r="L58" i="1"/>
  <c r="B58" i="1"/>
  <c r="L57" i="1"/>
  <c r="B57" i="1"/>
  <c r="L55" i="1"/>
  <c r="B55" i="1"/>
  <c r="L54" i="1"/>
  <c r="B54" i="1"/>
  <c r="L53" i="1"/>
  <c r="B53" i="1"/>
  <c r="L52" i="1"/>
  <c r="B52" i="1"/>
  <c r="L51" i="1"/>
  <c r="B51" i="1"/>
  <c r="L50" i="1"/>
  <c r="B50" i="1"/>
  <c r="L49" i="1"/>
  <c r="B49" i="1"/>
  <c r="L48" i="1"/>
  <c r="B48" i="1"/>
  <c r="L47" i="1"/>
  <c r="B47" i="1"/>
  <c r="L46" i="1"/>
  <c r="B46" i="1"/>
  <c r="L45" i="1"/>
  <c r="B45" i="1"/>
  <c r="L44" i="1"/>
  <c r="B44" i="1"/>
  <c r="L43" i="1"/>
  <c r="B43" i="1"/>
  <c r="L42" i="1"/>
  <c r="B42" i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<sst xmlns="http://schemas.openxmlformats.org/spreadsheetml/2006/main" count="978" uniqueCount="309">
  <si>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</si>
  <si>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</si>
  <si>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</si>
  <si>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</si>
  <si>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</si>
  <si>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</si>
  <si>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</si>
  <si>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</si>
  <si>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</si>
  <si>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</si>
  <si>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</si>
  <si>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</si>
  <si>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</si>
  <si>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</si>
  <si>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</si>
  <si>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</si>
  <si>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</si>
  <si>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</si>
  <si>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</si>
  <si>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</si>
  <si>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</si>
  <si>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</si>
  <si>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</si>
  <si>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</si>
  <si>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</si>
  <si>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</si>
  <si>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</si>
  <si>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</si>
  <si>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</si>
  <si>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</si>
  <si>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</si>
  <si>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</si>
  <si>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</si>
  <si>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</si>
  <si>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</si>
  <si>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</si>
  <si>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</si>
  <si>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</si>
  <si>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</si>
  <si>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</si>
  <si>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</si>
  <si>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</si>
  <si>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</si>
  <si>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</si>
  <si>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</si>
  <si>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</si>
  <si>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</si>
  <si>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</si>
  <si>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</si>
  <si>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</si>
  <si>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</si>
  <si>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</si>
  <si>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</si>
  <si>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</si>
  <si>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</si>
  <si>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</si>
  <si>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</si>
  <si>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</si>
  <si>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</si>
  <si>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</si>
  <si>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</si>
  <si>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</si>
  <si>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</si>
  <si>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</si>
  <si>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</si>
  <si>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</si>
  <si>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</si>
  <si>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</si>
  <si>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</si>
  <si>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</si>
  <si>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</si>
  <si>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</si>
  <si>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</si>
  <si>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</si>
  <si>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</si>
  <si>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</si>
  <si>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</si>
  <si>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</si>
  <si>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</si>
  <si>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</si>
  <si>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</si>
  <si>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</si>
  <si>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</si>
  <si>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</si>
  <si>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</si>
  <si>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</si>
  <si>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</si>
  <si>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</si>
  <si>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</si>
  <si>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</si>
  <si>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</si>
  <si>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</si>
  <si>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</si>
  <si>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</si>
  <si>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</si>
  <si>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</si>
  <si>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</si>
  <si>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</si>
  <si>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</si>
  <si>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</si>
  <si>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</si>
  <si>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</si>
  <si>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</si>
  <si>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</si>
  <si>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</si>
  <si>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</si>
  <si>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</si>
  <si>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</si>
  <si>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</si>
  <si>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</si>
  <si>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</si>
  <si>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</si>
  <si>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</si>
  <si>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</si>
  <si>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</si>
  <si>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</si>
  <si>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</si>
  <si>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</si>
  <si>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</si>
  <si>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</si>
  <si>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</si>
  <si>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</si>
  <si>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</si>
  <si>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</si>
  <si>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</si>
  <si>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</si>
  <si>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</si>
  <si>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</si>
  <si>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</si>
  <si>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</si>
  <si>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</si>
  <si>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</si>
  <si>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</si>
  <si>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</si>
  <si>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</si>
  <si>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</si>
  <si>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</si>
  <si>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</si>
  <si>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</si>
  <si>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</si>
  <si>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</si>
  <si>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</si>
  <si>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</si>
  <si>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</si>
  <si>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</si>
  <si>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</si>
  <si>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</si>
  <si>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</si>
  <si>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</si>
  <si>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</si>
  <si>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</si>
  <si>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</si>
  <si>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</si>
  <si>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</si>
  <si>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</si>
  <si>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</si>
  <si>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</si>
  <si>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</si>
  <si>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</si>
  <si>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</si>
  <si>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</si>
  <si>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</si>
  <si>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</si>
  <si>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</si>
  <si>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</si>
  <si>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</si>
  <si>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</si>
  <si>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</si>
  <si>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</si>
  <si>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</si>
  <si>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</si>
  <si>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</si>
  <si>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</si>
  <si>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</si>
  <si>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</si>
  <si>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</si>
  <si>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</si>
  <si>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</si>
  <si>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</si>
  <si>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</si>
  <si>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</si>
  <si>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</si>
  <si>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</si>
  <si>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</si>
  <si>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</si>
  <si>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</si>
  <si>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</si>
  <si>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</si>
  <si>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</si>
  <si>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</si>
  <si>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</si>
  <si>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</si>
  <si>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</si>
  <si>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</si>
  <si>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</si>
  <si>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</si>
  <si>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</si>
  <si>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</si>
  <si>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</si>
  <si>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</si>
  <si>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</si>
  <si>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</si>
  <si>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</si>
  <si>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</si>
  <si>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</si>
  <si>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</si>
  <si>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</si>
  <si>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</si>
  <si>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</si>
  <si>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</si>
  <si>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</si>
  <si>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</si>
  <si>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</si>
  <si>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</si>
  <si>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</si>
  <si>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</si>
  <si>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</si>
  <si>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</si>
  <si>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</si>
  <si>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</si>
  <si>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</si>
  <si>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</si>
  <si>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</si>
  <si>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</si>
  <si>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</si>
  <si>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</si>
  <si>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</si>
  <si>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</si>
  <si>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</si>
  <si>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</si>
  <si>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</si>
  <si>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</si>
  <si>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</si>
  <si>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Remarks</t>
  </si>
  <si>
    <t>Reviewer Remarks</t>
  </si>
  <si>
    <t>Bill of Materials for Project [Alarm-Clock-v1.0]</t>
  </si>
  <si>
    <t>Alarm-Clock-v1.0</t>
  </si>
  <si>
    <t>C1, C41, C43</t>
  </si>
  <si>
    <t>C0105C0G330J250NTZ</t>
  </si>
  <si>
    <t>RES-1206</t>
  </si>
  <si>
    <t>General Purpose Chip Resistor Thick Film 1206 5.6Ohm 1% Paper T/R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</si>
  <si>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</si>
  <si>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</si>
  <si>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</si>
  <si>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</si>
  <si>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</si>
  <si>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</si>
  <si>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</si>
  <si>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</si>
  <si>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</si>
  <si>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</si>
  <si>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</si>
  <si>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</si>
  <si>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</si>
  <si>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JST Right Angle</t>
  </si>
  <si>
    <t>J7</t>
  </si>
  <si>
    <t>1x5P 1 1.25mm Male pin 5 -25℃~+85℃ Surface Mount SMD,P=1.25mm Wire To Board / Wire To Wire Connector ROHS</t>
  </si>
  <si>
    <t>1.25-5PWB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</si>
  <si>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</si>
  <si>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</si>
  <si>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</si>
  <si>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</si>
  <si>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</si>
  <si>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</si>
  <si>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FFC Connector</t>
  </si>
  <si>
    <t>RES 1.5K OHM 1% 1/10W 0603</t>
  </si>
  <si>
    <t>RC0603FR-071K5L</t>
  </si>
  <si>
    <t>1.5K</t>
  </si>
  <si>
    <t>R1, R2, R6, R7, R8, R10, R13, R14, R15, R31, R32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</si>
  <si>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</si>
  <si>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</si>
  <si>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</si>
  <si>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</si>
  <si>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</si>
  <si>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</si>
  <si>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Speaker</t>
  </si>
  <si>
    <t>This part provide by client.</t>
  </si>
  <si>
    <t>WF12P5R60FTL</t>
  </si>
  <si>
    <t>C1, C2, C3, C4</t>
  </si>
  <si>
    <t>CAP CER 1000PF 25V C0G 0402</t>
  </si>
  <si>
    <t>C1005C0G1E102JT000F</t>
  </si>
  <si>
    <t>TDK</t>
  </si>
  <si>
    <t>1nF</t>
  </si>
  <si>
    <t>C62</t>
  </si>
  <si>
    <t>D1</t>
  </si>
  <si>
    <t>TVS DIODE 5VWM 6.3VC DSN0603-2</t>
  </si>
  <si>
    <t>DSN0603-2</t>
  </si>
  <si>
    <t>PESD5V0H1BSFYL</t>
  </si>
  <si>
    <t>Nexperia</t>
  </si>
  <si>
    <t>Fuse</t>
  </si>
  <si>
    <t>F1</t>
  </si>
  <si>
    <t>6V 2A 50A 1W -40℃~+85℃ 4A 4mΩ 5s 45mΩ 0805 Resettable Fuses ROHS</t>
  </si>
  <si>
    <t>Fuse-0805</t>
  </si>
  <si>
    <t>BSMD0805L-200</t>
  </si>
  <si>
    <t>BHFUSE</t>
  </si>
  <si>
    <t>USB Connector</t>
  </si>
  <si>
    <t>J2</t>
  </si>
  <si>
    <t>USB 3.1 1 Brick nogging 16 Female Type-C SMD USB Connectors ROHS</t>
  </si>
  <si>
    <t>918-418K2022Y40009</t>
  </si>
  <si>
    <t>Jing Extension</t>
  </si>
  <si>
    <t>R1, R2</t>
  </si>
  <si>
    <t>RES 5.1K OHM 1% 1/16W 0402</t>
  </si>
  <si>
    <t>Res-0402</t>
  </si>
  <si>
    <t>RC0402FR-075K1L</t>
  </si>
  <si>
    <t>5.1K</t>
  </si>
  <si>
    <t>SW1</t>
  </si>
  <si>
    <t>-25℃~+85℃ 6mm 5mm Round Button 50mA Brick nogging 6mm SPST 100MΩ 100000 250gf@±30gf 12V SMD Tactile Switches ROHS</t>
  </si>
  <si>
    <t>K2-1102SP-C4SC-04</t>
  </si>
  <si>
    <t>Korean Hroparts 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</si>
</sst>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8" fillId="2" borderId="23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9525</xdr:colOff>
      <xdr:row>2</xdr:row>
      <xdr:rowOff>10417</xdr:rowOff>
    </xdr:from>
    <xdr:to>
      <xdr:col>13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tabSelected="1" topLeftCell="A70" workbookViewId="0">
      <selection activeCell="K85" sqref="K85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9.42578125" customWidth="1"/>
    <col min="6" max="6" width="15" customWidth="1"/>
    <col min="7" max="7" width="25.28515625" bestFit="1" customWidth="1"/>
    <col min="8" max="8" width="14.85546875" customWidth="1"/>
    <col min="9" max="9" width="6.140625" bestFit="1" customWidth="1"/>
    <col min="10" max="10" width="8.7109375" bestFit="1" customWidth="1"/>
    <col min="11" max="11" width="15.7109375" bestFit="1" customWidth="1"/>
    <col min="12" max="12" width="26.28515625" customWidth="1"/>
    <col min="13" max="13" width="17.7109375" bestFit="1" customWidth="1"/>
  </cols>
  <sheetData>
    <row r="1" spans="1:12" ht="15.75" thickBot="1" x14ac:dyDescent="0.3">
      <c r="A1" s="1"/>
      <c r="B1" s="20"/>
      <c r="C1" s="20"/>
      <c r="D1" s="2"/>
      <c r="E1" s="2"/>
      <c r="F1" s="2"/>
      <c r="G1" s="2"/>
      <c r="H1" s="2"/>
      <c r="I1" s="75"/>
      <c r="J1" s="75"/>
      <c r="K1" s="75"/>
      <c r="L1" s="76"/>
    </row>
    <row r="2" spans="1:12" ht="32.25" thickBot="1" x14ac:dyDescent="0.3">
      <c r="A2" s="1"/>
      <c r="B2" s="21"/>
      <c r="C2" s="31"/>
      <c r="D2" s="11" t="s">
        <v>0</v>
      </c>
      <c r="E2" s="11"/>
      <c r="F2" s="44" t="s">
        <v>235</v>
      </c>
      <c r="G2" s="12"/>
      <c r="H2" s="4"/>
      <c r="I2" s="4"/>
      <c r="J2" s="4"/>
      <c r="K2" s="4"/>
      <c r="L2" s="3"/>
    </row>
    <row r="3" spans="1:12" x14ac:dyDescent="0.25">
      <c r="A3" s="1"/>
      <c r="B3" s="22"/>
      <c r="C3" s="32"/>
      <c r="D3" s="13" t="s">
        <v>1</v>
      </c>
      <c r="E3" s="13"/>
      <c r="F3" s="45" t="s">
        <v>236</v>
      </c>
      <c r="G3" s="13"/>
      <c r="H3" s="5"/>
      <c r="I3" s="5"/>
      <c r="J3" s="5"/>
      <c r="K3" s="5"/>
      <c r="L3" s="77"/>
    </row>
    <row r="4" spans="1:12" x14ac:dyDescent="0.25">
      <c r="A4" s="1"/>
      <c r="B4" s="22"/>
      <c r="C4" s="32"/>
      <c r="D4" s="13" t="s">
        <v>2</v>
      </c>
      <c r="E4" s="13"/>
      <c r="F4" s="45" t="s">
        <v>236</v>
      </c>
      <c r="G4" s="14"/>
      <c r="H4" s="7"/>
      <c r="I4" s="7"/>
      <c r="J4" s="6"/>
      <c r="K4" s="6"/>
      <c r="L4" s="78"/>
    </row>
    <row r="5" spans="1:12" x14ac:dyDescent="0.25">
      <c r="A5" s="1"/>
      <c r="B5" s="22"/>
      <c r="C5" s="32"/>
      <c r="D5" s="13" t="s">
        <v>3</v>
      </c>
      <c r="E5" s="13"/>
      <c r="F5" s="46" t="s">
        <v>5</v>
      </c>
      <c r="G5" s="15"/>
      <c r="H5" s="6"/>
      <c r="I5" s="6"/>
      <c r="J5" s="6"/>
      <c r="K5" s="6"/>
      <c r="L5" s="78"/>
    </row>
    <row r="6" spans="1:12" x14ac:dyDescent="0.25">
      <c r="A6" s="1"/>
      <c r="B6" s="23"/>
      <c r="C6" s="33"/>
      <c r="D6" s="16"/>
      <c r="E6" s="16"/>
      <c r="F6" s="17"/>
      <c r="G6" s="15"/>
      <c r="H6" s="6"/>
      <c r="I6" s="6"/>
      <c r="J6" s="6"/>
      <c r="K6" s="6"/>
      <c r="L6" s="78"/>
    </row>
    <row r="7" spans="1:12" x14ac:dyDescent="0.25">
      <c r="A7" s="1"/>
      <c r="B7" s="24"/>
      <c r="C7" s="34"/>
      <c r="D7" s="18"/>
      <c r="E7" s="18"/>
      <c r="F7" s="19"/>
      <c r="G7" s="18"/>
      <c r="H7" s="8"/>
      <c r="I7" s="8"/>
      <c r="J7" s="8"/>
      <c r="K7" s="8"/>
      <c r="L7" s="78"/>
    </row>
    <row r="8" spans="1:12" ht="15.75" thickBot="1" x14ac:dyDescent="0.3">
      <c r="A8" s="1"/>
      <c r="B8" s="27"/>
      <c r="C8" s="35"/>
      <c r="D8" s="28"/>
      <c r="E8" s="28"/>
      <c r="F8" s="29"/>
      <c r="G8" s="18"/>
      <c r="H8" s="8"/>
      <c r="I8" s="8"/>
      <c r="J8" s="8"/>
      <c r="K8" s="8"/>
      <c r="L8" s="78"/>
    </row>
    <row r="9" spans="1:12" ht="15.75" thickBot="1" x14ac:dyDescent="0.3">
      <c r="A9" s="1"/>
      <c r="B9" s="30" t="s">
        <v>4</v>
      </c>
      <c r="C9" s="30" t="s">
        <v>6</v>
      </c>
      <c r="D9" s="30" t="s">
        <v>19</v>
      </c>
      <c r="E9" s="30" t="s">
        <v>64</v>
      </c>
      <c r="F9" s="30" t="s">
        <v>112</v>
      </c>
      <c r="G9" s="30" t="s">
        <v>139</v>
      </c>
      <c r="H9" s="30" t="s">
        <v>179</v>
      </c>
      <c r="I9" s="30" t="s">
        <v>230</v>
      </c>
      <c r="J9" s="30" t="s">
        <v>225</v>
      </c>
      <c r="K9" s="30" t="s">
        <v>233</v>
      </c>
      <c r="L9" s="30" t="s">
        <v>234</v>
      </c>
    </row>
    <row r="10" spans="1:12" s="65" customFormat="1" x14ac:dyDescent="0.25">
      <c r="A10" s="63"/>
      <c r="B10" s="39">
        <f>ROW(B10) - ROW($B$9)</f>
        <v>1</v>
      </c>
      <c r="C10" s="48" t="s">
        <v>7</v>
      </c>
      <c r="D10" s="37" t="s">
        <v>237</v>
      </c>
      <c r="E10" s="37" t="s">
        <v>65</v>
      </c>
      <c r="F10" s="37" t="s">
        <v>113</v>
      </c>
      <c r="G10" s="37" t="s">
        <v>140</v>
      </c>
      <c r="H10" s="37" t="s">
        <v>180</v>
      </c>
      <c r="I10" s="37" t="s">
        <v>202</v>
      </c>
      <c r="J10" s="37">
        <v>3</v>
      </c>
      <c r="K10" s="37"/>
      <c r="L10" s="64"/>
    </row>
    <row r="11" spans="1:12" s="65" customFormat="1" x14ac:dyDescent="0.25">
      <c r="A11" s="63"/>
      <c r="B11" s="40">
        <f t="shared" ref="B11:B67" si="0">ROW(B11) - ROW($B$9)</f>
        <v>2</v>
      </c>
      <c r="C11" s="48" t="s">
        <v>7</v>
      </c>
      <c r="D11" s="42" t="s">
        <v>20</v>
      </c>
      <c r="E11" s="42" t="s">
        <v>66</v>
      </c>
      <c r="F11" s="42" t="s">
        <v>114</v>
      </c>
      <c r="G11" s="42" t="s">
        <v>141</v>
      </c>
      <c r="H11" s="42" t="s">
        <v>181</v>
      </c>
      <c r="I11" s="42" t="s">
        <v>203</v>
      </c>
      <c r="J11" s="42">
        <v>2</v>
      </c>
      <c r="K11" s="42"/>
      <c r="L11" s="42"/>
    </row>
    <row r="12" spans="1:12" s="65" customFormat="1" ht="24" x14ac:dyDescent="0.25">
      <c r="A12" s="63"/>
      <c r="B12" s="39">
        <f>ROW(B12) - ROW($B$9)</f>
        <v>3</v>
      </c>
      <c r="C12" s="48" t="s">
        <v>7</v>
      </c>
      <c r="D12" s="37" t="s">
        <v>21</v>
      </c>
      <c r="E12" s="37" t="s">
        <v>67</v>
      </c>
      <c r="F12" s="37" t="s">
        <v>113</v>
      </c>
      <c r="G12" s="37" t="s">
        <v>142</v>
      </c>
      <c r="H12" s="37" t="s">
        <v>180</v>
      </c>
      <c r="I12" s="37" t="s">
        <v>204</v>
      </c>
      <c r="J12" s="37">
        <v>14</v>
      </c>
      <c r="K12" s="37"/>
      <c r="L12" s="47"/>
    </row>
    <row r="13" spans="1:12" s="65" customFormat="1" x14ac:dyDescent="0.25">
      <c r="A13" s="63"/>
      <c r="B13" s="40">
        <f t="shared" si="0"/>
        <v>4</v>
      </c>
      <c r="C13" s="48" t="s">
        <v>7</v>
      </c>
      <c r="D13" s="42" t="s">
        <v>22</v>
      </c>
      <c r="E13" s="42" t="s">
        <v>68</v>
      </c>
      <c r="F13" s="42" t="s">
        <v>113</v>
      </c>
      <c r="G13" s="42" t="s">
        <v>143</v>
      </c>
      <c r="H13" s="42" t="s">
        <v>180</v>
      </c>
      <c r="I13" s="42" t="s">
        <v>205</v>
      </c>
      <c r="J13" s="42">
        <v>1</v>
      </c>
      <c r="K13" s="42"/>
      <c r="L13" s="47"/>
    </row>
    <row r="14" spans="1:12" s="65" customFormat="1" ht="36" x14ac:dyDescent="0.25">
      <c r="A14" s="63"/>
      <c r="B14" s="39">
        <f>ROW(B14) - ROW($B$9)</f>
        <v>5</v>
      </c>
      <c r="C14" s="48" t="s">
        <v>7</v>
      </c>
      <c r="D14" s="37" t="s">
        <v>242</v>
      </c>
      <c r="E14" s="37" t="s">
        <v>69</v>
      </c>
      <c r="F14" s="37" t="s">
        <v>115</v>
      </c>
      <c r="G14" s="37" t="s">
        <v>144</v>
      </c>
      <c r="H14" s="37" t="s">
        <v>180</v>
      </c>
      <c r="I14" s="37" t="s">
        <v>206</v>
      </c>
      <c r="J14" s="37">
        <v>22</v>
      </c>
      <c r="K14" s="37"/>
      <c r="L14" s="47"/>
    </row>
    <row r="15" spans="1:12" s="65" customFormat="1" x14ac:dyDescent="0.25">
      <c r="A15" s="63"/>
      <c r="B15" s="40">
        <f t="shared" si="0"/>
        <v>6</v>
      </c>
      <c r="C15" s="48" t="s">
        <v>7</v>
      </c>
      <c r="D15" s="42" t="s">
        <v>23</v>
      </c>
      <c r="E15" s="42" t="s">
        <v>70</v>
      </c>
      <c r="F15" s="42" t="s">
        <v>113</v>
      </c>
      <c r="G15" s="42" t="s">
        <v>145</v>
      </c>
      <c r="H15" s="42" t="s">
        <v>180</v>
      </c>
      <c r="I15" s="42" t="s">
        <v>207</v>
      </c>
      <c r="J15" s="42">
        <v>2</v>
      </c>
      <c r="K15" s="42"/>
      <c r="L15" s="47"/>
    </row>
    <row r="16" spans="1:12" s="65" customFormat="1" x14ac:dyDescent="0.25">
      <c r="A16" s="63"/>
      <c r="B16" s="39">
        <f>ROW(B16) - ROW($B$9)</f>
        <v>7</v>
      </c>
      <c r="C16" s="48" t="s">
        <v>7</v>
      </c>
      <c r="D16" s="37" t="s">
        <v>24</v>
      </c>
      <c r="E16" s="37" t="s">
        <v>71</v>
      </c>
      <c r="F16" s="37" t="s">
        <v>116</v>
      </c>
      <c r="G16" s="37" t="s">
        <v>146</v>
      </c>
      <c r="H16" s="37" t="s">
        <v>182</v>
      </c>
      <c r="I16" s="37" t="s">
        <v>208</v>
      </c>
      <c r="J16" s="37">
        <v>2</v>
      </c>
      <c r="K16" s="37"/>
      <c r="L16" s="47"/>
    </row>
    <row r="17" spans="1:12" s="65" customFormat="1" x14ac:dyDescent="0.25">
      <c r="A17" s="63"/>
      <c r="B17" s="40">
        <f t="shared" si="0"/>
        <v>8</v>
      </c>
      <c r="C17" s="48" t="s">
        <v>7</v>
      </c>
      <c r="D17" s="42" t="s">
        <v>25</v>
      </c>
      <c r="E17" s="42" t="s">
        <v>72</v>
      </c>
      <c r="F17" s="42" t="s">
        <v>113</v>
      </c>
      <c r="G17" s="42" t="s">
        <v>147</v>
      </c>
      <c r="H17" s="42" t="s">
        <v>180</v>
      </c>
      <c r="I17" s="42" t="s">
        <v>209</v>
      </c>
      <c r="J17" s="42">
        <v>6</v>
      </c>
      <c r="K17" s="42"/>
      <c r="L17" s="47"/>
    </row>
    <row r="18" spans="1:12" s="65" customFormat="1" x14ac:dyDescent="0.25">
      <c r="A18" s="63"/>
      <c r="B18" s="39">
        <f>ROW(B18) - ROW($B$9)</f>
        <v>9</v>
      </c>
      <c r="C18" s="48" t="s">
        <v>7</v>
      </c>
      <c r="D18" s="37" t="s">
        <v>26</v>
      </c>
      <c r="E18" s="37" t="s">
        <v>73</v>
      </c>
      <c r="F18" s="37" t="s">
        <v>115</v>
      </c>
      <c r="G18" s="37" t="s">
        <v>238</v>
      </c>
      <c r="H18" s="37" t="s">
        <v>183</v>
      </c>
      <c r="I18" s="37" t="s">
        <v>210</v>
      </c>
      <c r="J18" s="37">
        <v>3</v>
      </c>
      <c r="K18" s="37"/>
      <c r="L18" s="47"/>
    </row>
    <row r="19" spans="1:12" s="65" customFormat="1" x14ac:dyDescent="0.25">
      <c r="A19" s="63"/>
      <c r="B19" s="40">
        <f t="shared" si="0"/>
        <v>10</v>
      </c>
      <c r="C19" s="48" t="s">
        <v>7</v>
      </c>
      <c r="D19" s="42" t="s">
        <v>27</v>
      </c>
      <c r="E19" s="42" t="s">
        <v>74</v>
      </c>
      <c r="F19" s="42" t="s">
        <v>113</v>
      </c>
      <c r="G19" s="42" t="s">
        <v>148</v>
      </c>
      <c r="H19" s="42" t="s">
        <v>180</v>
      </c>
      <c r="I19" s="42" t="s">
        <v>207</v>
      </c>
      <c r="J19" s="42">
        <v>1</v>
      </c>
      <c r="K19" s="42"/>
      <c r="L19" s="47"/>
    </row>
    <row r="20" spans="1:12" s="65" customFormat="1" x14ac:dyDescent="0.25">
      <c r="A20" s="63"/>
      <c r="B20" s="40">
        <f t="shared" si="0"/>
        <v>11</v>
      </c>
      <c r="C20" s="48" t="s">
        <v>7</v>
      </c>
      <c r="D20" s="42" t="s">
        <v>28</v>
      </c>
      <c r="E20" s="42" t="s">
        <v>75</v>
      </c>
      <c r="F20" s="42" t="s">
        <v>113</v>
      </c>
      <c r="G20" s="42" t="s">
        <v>149</v>
      </c>
      <c r="H20" s="42" t="s">
        <v>180</v>
      </c>
      <c r="I20" s="42" t="s">
        <v>211</v>
      </c>
      <c r="J20" s="42">
        <v>2</v>
      </c>
      <c r="K20" s="42"/>
      <c r="L20" s="47"/>
    </row>
    <row r="21" spans="1:12" s="65" customFormat="1" x14ac:dyDescent="0.25">
      <c r="A21" s="63"/>
      <c r="B21" s="39">
        <f>ROW(B21) - ROW($B$9)</f>
        <v>12</v>
      </c>
      <c r="C21" s="48" t="s">
        <v>7</v>
      </c>
      <c r="D21" s="37" t="s">
        <v>29</v>
      </c>
      <c r="E21" s="37" t="s">
        <v>76</v>
      </c>
      <c r="F21" s="37" t="s">
        <v>113</v>
      </c>
      <c r="G21" s="37" t="s">
        <v>150</v>
      </c>
      <c r="H21" s="37" t="s">
        <v>180</v>
      </c>
      <c r="I21" s="37" t="s">
        <v>212</v>
      </c>
      <c r="J21" s="37">
        <v>2</v>
      </c>
      <c r="K21" s="37"/>
      <c r="L21" s="47"/>
    </row>
    <row r="22" spans="1:12" s="65" customFormat="1" x14ac:dyDescent="0.25">
      <c r="A22" s="63"/>
      <c r="B22" s="40">
        <f t="shared" si="0"/>
        <v>13</v>
      </c>
      <c r="C22" s="48" t="s">
        <v>7</v>
      </c>
      <c r="D22" s="42" t="s">
        <v>30</v>
      </c>
      <c r="E22" s="42" t="s">
        <v>77</v>
      </c>
      <c r="F22" s="42" t="s">
        <v>113</v>
      </c>
      <c r="G22" s="42" t="s">
        <v>151</v>
      </c>
      <c r="H22" s="42" t="s">
        <v>180</v>
      </c>
      <c r="I22" s="42" t="s">
        <v>213</v>
      </c>
      <c r="J22" s="42">
        <v>1</v>
      </c>
      <c r="K22" s="42"/>
      <c r="L22" s="47"/>
    </row>
    <row r="23" spans="1:12" s="65" customFormat="1" ht="24" x14ac:dyDescent="0.25">
      <c r="A23" s="63"/>
      <c r="B23" s="40">
        <f t="shared" si="0"/>
        <v>14</v>
      </c>
      <c r="C23" s="48" t="s">
        <v>8</v>
      </c>
      <c r="D23" s="42" t="s">
        <v>31</v>
      </c>
      <c r="E23" s="42" t="s">
        <v>78</v>
      </c>
      <c r="F23" s="42" t="s">
        <v>117</v>
      </c>
      <c r="G23" s="42" t="s">
        <v>152</v>
      </c>
      <c r="H23" s="42" t="s">
        <v>184</v>
      </c>
      <c r="I23" s="42" t="s">
        <v>227</v>
      </c>
      <c r="J23" s="42">
        <v>1</v>
      </c>
      <c r="K23" s="42"/>
      <c r="L23" s="47"/>
    </row>
    <row r="24" spans="1:12" s="65" customFormat="1" ht="24" x14ac:dyDescent="0.25">
      <c r="A24" s="63"/>
      <c r="B24" s="39">
        <f>ROW(B24) - ROW($B$9)</f>
        <v>15</v>
      </c>
      <c r="C24" s="48" t="s">
        <v>8</v>
      </c>
      <c r="D24" s="37" t="s">
        <v>32</v>
      </c>
      <c r="E24" s="37" t="s">
        <v>79</v>
      </c>
      <c r="F24" s="37" t="s">
        <v>118</v>
      </c>
      <c r="G24" s="37" t="s">
        <v>153</v>
      </c>
      <c r="H24" s="37" t="s">
        <v>185</v>
      </c>
      <c r="I24" s="37" t="s">
        <v>227</v>
      </c>
      <c r="J24" s="37">
        <v>1</v>
      </c>
      <c r="K24" s="37"/>
      <c r="L24" s="47"/>
    </row>
    <row r="25" spans="1:12" s="65" customFormat="1" ht="24" x14ac:dyDescent="0.25">
      <c r="A25" s="63"/>
      <c r="B25" s="40">
        <f t="shared" ref="B25" si="1">ROW(B25) - ROW($B$9)</f>
        <v>16</v>
      </c>
      <c r="C25" s="48" t="s">
        <v>8</v>
      </c>
      <c r="D25" s="42" t="s">
        <v>243</v>
      </c>
      <c r="E25" s="42" t="s">
        <v>244</v>
      </c>
      <c r="F25" s="42" t="s">
        <v>245</v>
      </c>
      <c r="G25" s="42" t="s">
        <v>246</v>
      </c>
      <c r="H25" s="42" t="s">
        <v>185</v>
      </c>
      <c r="I25" s="42" t="s">
        <v>227</v>
      </c>
      <c r="J25" s="42">
        <v>1</v>
      </c>
      <c r="K25" s="43"/>
      <c r="L25" s="42"/>
    </row>
    <row r="26" spans="1:12" s="65" customFormat="1" ht="24" x14ac:dyDescent="0.25">
      <c r="A26" s="63"/>
      <c r="B26" s="39">
        <f>ROW(B26) - ROW($B$9)</f>
        <v>17</v>
      </c>
      <c r="C26" s="48" t="s">
        <v>9</v>
      </c>
      <c r="D26" s="37" t="s">
        <v>33</v>
      </c>
      <c r="E26" s="37" t="s">
        <v>80</v>
      </c>
      <c r="F26" s="37" t="s">
        <v>119</v>
      </c>
      <c r="G26" s="37" t="s">
        <v>154</v>
      </c>
      <c r="H26" s="37" t="s">
        <v>183</v>
      </c>
      <c r="I26" s="42" t="s">
        <v>227</v>
      </c>
      <c r="J26" s="37">
        <v>2</v>
      </c>
      <c r="K26" s="37"/>
      <c r="L26" s="47"/>
    </row>
    <row r="27" spans="1:12" s="65" customFormat="1" ht="24" x14ac:dyDescent="0.25">
      <c r="A27" s="63"/>
      <c r="B27" s="40">
        <f t="shared" si="0"/>
        <v>18</v>
      </c>
      <c r="C27" s="49" t="s">
        <v>10</v>
      </c>
      <c r="D27" s="42" t="s">
        <v>34</v>
      </c>
      <c r="E27" s="42" t="s">
        <v>81</v>
      </c>
      <c r="F27" s="42" t="s">
        <v>119</v>
      </c>
      <c r="G27" s="42" t="s">
        <v>155</v>
      </c>
      <c r="H27" s="42" t="s">
        <v>183</v>
      </c>
      <c r="I27" s="42" t="s">
        <v>227</v>
      </c>
      <c r="J27" s="42">
        <v>1</v>
      </c>
      <c r="K27" s="42"/>
      <c r="L27" s="47"/>
    </row>
    <row r="28" spans="1:12" s="65" customFormat="1" x14ac:dyDescent="0.25">
      <c r="A28" s="63"/>
      <c r="B28" s="39">
        <f>ROW(B28) - ROW($B$9)</f>
        <v>19</v>
      </c>
      <c r="C28" s="49" t="s">
        <v>247</v>
      </c>
      <c r="D28" s="37" t="s">
        <v>35</v>
      </c>
      <c r="E28" s="37" t="s">
        <v>248</v>
      </c>
      <c r="F28" s="37" t="s">
        <v>228</v>
      </c>
      <c r="G28" s="37" t="s">
        <v>249</v>
      </c>
      <c r="H28" s="37"/>
      <c r="I28" s="37" t="s">
        <v>227</v>
      </c>
      <c r="J28" s="37">
        <v>1</v>
      </c>
      <c r="K28" s="37"/>
      <c r="L28" s="47"/>
    </row>
    <row r="29" spans="1:12" s="65" customFormat="1" ht="48" x14ac:dyDescent="0.25">
      <c r="A29" s="63"/>
      <c r="B29" s="40">
        <f t="shared" si="0"/>
        <v>20</v>
      </c>
      <c r="C29" s="49" t="s">
        <v>11</v>
      </c>
      <c r="D29" s="42" t="s">
        <v>250</v>
      </c>
      <c r="E29" s="42" t="s">
        <v>251</v>
      </c>
      <c r="F29" s="42" t="s">
        <v>228</v>
      </c>
      <c r="G29" s="42" t="s">
        <v>252</v>
      </c>
      <c r="H29" s="42" t="s">
        <v>253</v>
      </c>
      <c r="I29" s="42" t="s">
        <v>227</v>
      </c>
      <c r="J29" s="42">
        <v>3</v>
      </c>
      <c r="K29" s="42"/>
      <c r="L29" s="47"/>
    </row>
    <row r="30" spans="1:12" s="65" customFormat="1" ht="24" x14ac:dyDescent="0.25">
      <c r="A30" s="63"/>
      <c r="B30" s="39">
        <f>ROW(B30) - ROW($B$9)</f>
        <v>21</v>
      </c>
      <c r="C30" s="48" t="s">
        <v>12</v>
      </c>
      <c r="D30" s="37" t="s">
        <v>36</v>
      </c>
      <c r="E30" s="37" t="s">
        <v>82</v>
      </c>
      <c r="F30" s="37" t="s">
        <v>228</v>
      </c>
      <c r="G30" s="37" t="s">
        <v>120</v>
      </c>
      <c r="H30" s="37" t="s">
        <v>186</v>
      </c>
      <c r="I30" s="42" t="s">
        <v>227</v>
      </c>
      <c r="J30" s="37">
        <v>1</v>
      </c>
      <c r="K30" s="37"/>
      <c r="L30" s="47"/>
    </row>
    <row r="31" spans="1:12" s="65" customFormat="1" x14ac:dyDescent="0.25">
      <c r="A31" s="63"/>
      <c r="B31" s="40">
        <f t="shared" si="0"/>
        <v>22</v>
      </c>
      <c r="C31" s="49" t="s">
        <v>264</v>
      </c>
      <c r="D31" s="42" t="s">
        <v>37</v>
      </c>
      <c r="E31" s="42" t="s">
        <v>83</v>
      </c>
      <c r="F31" s="42" t="s">
        <v>228</v>
      </c>
      <c r="G31" s="42" t="s">
        <v>121</v>
      </c>
      <c r="H31" s="42" t="s">
        <v>186</v>
      </c>
      <c r="I31" s="42" t="s">
        <v>227</v>
      </c>
      <c r="J31" s="42">
        <v>1</v>
      </c>
      <c r="K31" s="42"/>
      <c r="L31" s="47"/>
    </row>
    <row r="32" spans="1:12" s="65" customFormat="1" ht="48" x14ac:dyDescent="0.25">
      <c r="A32" s="63"/>
      <c r="B32" s="39">
        <f>ROW(B32) - ROW($B$9)</f>
        <v>23</v>
      </c>
      <c r="C32" s="48" t="s">
        <v>254</v>
      </c>
      <c r="D32" s="37" t="s">
        <v>255</v>
      </c>
      <c r="E32" s="37" t="s">
        <v>256</v>
      </c>
      <c r="F32" s="37" t="s">
        <v>228</v>
      </c>
      <c r="G32" s="37" t="s">
        <v>257</v>
      </c>
      <c r="H32" s="37" t="s">
        <v>253</v>
      </c>
      <c r="I32" s="37" t="s">
        <v>227</v>
      </c>
      <c r="J32" s="37">
        <v>1</v>
      </c>
      <c r="K32" s="37"/>
      <c r="L32" s="47"/>
    </row>
    <row r="33" spans="1:12" s="65" customFormat="1" x14ac:dyDescent="0.25">
      <c r="A33" s="63"/>
      <c r="B33" s="40">
        <f t="shared" si="0"/>
        <v>24</v>
      </c>
      <c r="C33" s="49" t="s">
        <v>10</v>
      </c>
      <c r="D33" s="42" t="s">
        <v>38</v>
      </c>
      <c r="E33" s="42" t="s">
        <v>84</v>
      </c>
      <c r="F33" s="37" t="s">
        <v>228</v>
      </c>
      <c r="G33" s="42" t="s">
        <v>122</v>
      </c>
      <c r="H33" s="42" t="s">
        <v>187</v>
      </c>
      <c r="I33" s="42" t="s">
        <v>227</v>
      </c>
      <c r="J33" s="42">
        <v>1</v>
      </c>
      <c r="K33" s="42"/>
      <c r="L33" s="47"/>
    </row>
    <row r="34" spans="1:12" s="65" customFormat="1" ht="24" x14ac:dyDescent="0.25">
      <c r="A34" s="63"/>
      <c r="B34" s="39">
        <f>ROW(B34) - ROW($B$9)</f>
        <v>25</v>
      </c>
      <c r="C34" s="48" t="s">
        <v>13</v>
      </c>
      <c r="D34" s="50" t="s">
        <v>39</v>
      </c>
      <c r="E34" s="50" t="s">
        <v>85</v>
      </c>
      <c r="F34" s="50" t="s">
        <v>228</v>
      </c>
      <c r="G34" s="50" t="s">
        <v>229</v>
      </c>
      <c r="H34" s="51" t="s">
        <v>227</v>
      </c>
      <c r="I34" s="52" t="s">
        <v>227</v>
      </c>
      <c r="J34" s="50">
        <v>13</v>
      </c>
      <c r="K34" s="50"/>
      <c r="L34" s="53"/>
    </row>
    <row r="35" spans="1:12" s="65" customFormat="1" ht="36" x14ac:dyDescent="0.25">
      <c r="A35" s="63"/>
      <c r="B35" s="40">
        <f t="shared" si="0"/>
        <v>26</v>
      </c>
      <c r="C35" s="49" t="s">
        <v>14</v>
      </c>
      <c r="D35" s="42" t="s">
        <v>40</v>
      </c>
      <c r="E35" s="42" t="s">
        <v>86</v>
      </c>
      <c r="F35" s="42" t="s">
        <v>123</v>
      </c>
      <c r="G35" s="42" t="s">
        <v>156</v>
      </c>
      <c r="H35" s="42" t="s">
        <v>188</v>
      </c>
      <c r="I35" s="42" t="s">
        <v>227</v>
      </c>
      <c r="J35" s="42">
        <v>1</v>
      </c>
      <c r="K35" s="42"/>
      <c r="L35" s="47"/>
    </row>
    <row r="36" spans="1:12" s="65" customFormat="1" x14ac:dyDescent="0.25">
      <c r="A36" s="63"/>
      <c r="B36" s="39">
        <f>ROW(B36) - ROW($B$9)</f>
        <v>27</v>
      </c>
      <c r="C36" s="49" t="s">
        <v>14</v>
      </c>
      <c r="D36" s="37" t="s">
        <v>41</v>
      </c>
      <c r="E36" s="37" t="s">
        <v>87</v>
      </c>
      <c r="F36" s="37" t="s">
        <v>123</v>
      </c>
      <c r="G36" s="37" t="s">
        <v>157</v>
      </c>
      <c r="H36" s="37" t="s">
        <v>189</v>
      </c>
      <c r="I36" s="42" t="s">
        <v>227</v>
      </c>
      <c r="J36" s="37">
        <v>1</v>
      </c>
      <c r="K36" s="37"/>
      <c r="L36" s="47"/>
    </row>
    <row r="37" spans="1:12" s="65" customFormat="1" ht="24" x14ac:dyDescent="0.25">
      <c r="A37" s="63"/>
      <c r="B37" s="40">
        <f t="shared" si="0"/>
        <v>28</v>
      </c>
      <c r="C37" s="48" t="s">
        <v>15</v>
      </c>
      <c r="D37" s="42" t="s">
        <v>268</v>
      </c>
      <c r="E37" s="42" t="s">
        <v>88</v>
      </c>
      <c r="F37" s="42" t="s">
        <v>124</v>
      </c>
      <c r="G37" s="42" t="s">
        <v>158</v>
      </c>
      <c r="H37" s="42" t="s">
        <v>180</v>
      </c>
      <c r="I37" s="42" t="s">
        <v>214</v>
      </c>
      <c r="J37" s="42">
        <v>11</v>
      </c>
      <c r="K37" s="66" t="s">
        <v>241</v>
      </c>
      <c r="L37" s="47"/>
    </row>
    <row r="38" spans="1:12" s="65" customFormat="1" x14ac:dyDescent="0.25">
      <c r="A38" s="63"/>
      <c r="B38" s="40">
        <f t="shared" si="0"/>
        <v>29</v>
      </c>
      <c r="C38" s="48" t="s">
        <v>15</v>
      </c>
      <c r="D38" s="42" t="s">
        <v>42</v>
      </c>
      <c r="E38" s="42" t="s">
        <v>89</v>
      </c>
      <c r="F38" s="42" t="s">
        <v>124</v>
      </c>
      <c r="G38" s="42" t="s">
        <v>159</v>
      </c>
      <c r="H38" s="42" t="s">
        <v>180</v>
      </c>
      <c r="I38" s="42" t="s">
        <v>215</v>
      </c>
      <c r="J38" s="42">
        <v>3</v>
      </c>
      <c r="K38" s="42"/>
      <c r="L38" s="47"/>
    </row>
    <row r="39" spans="1:12" s="65" customFormat="1" x14ac:dyDescent="0.25">
      <c r="A39" s="63"/>
      <c r="B39" s="39">
        <f>ROW(B39) - ROW($B$9)</f>
        <v>30</v>
      </c>
      <c r="C39" s="48" t="s">
        <v>15</v>
      </c>
      <c r="D39" s="37" t="s">
        <v>43</v>
      </c>
      <c r="E39" s="42" t="s">
        <v>265</v>
      </c>
      <c r="F39" s="42" t="s">
        <v>124</v>
      </c>
      <c r="G39" s="42" t="s">
        <v>266</v>
      </c>
      <c r="H39" s="42" t="s">
        <v>180</v>
      </c>
      <c r="I39" s="42" t="s">
        <v>267</v>
      </c>
      <c r="J39" s="42">
        <v>1</v>
      </c>
      <c r="K39" s="37"/>
      <c r="L39" s="47"/>
    </row>
    <row r="40" spans="1:12" s="65" customFormat="1" x14ac:dyDescent="0.25">
      <c r="A40" s="63"/>
      <c r="B40" s="39">
        <f>ROW(B40) - ROW($B$9)</f>
        <v>31</v>
      </c>
      <c r="C40" s="48" t="s">
        <v>15</v>
      </c>
      <c r="D40" s="37" t="s">
        <v>44</v>
      </c>
      <c r="E40" s="37" t="s">
        <v>90</v>
      </c>
      <c r="F40" s="37" t="s">
        <v>124</v>
      </c>
      <c r="G40" s="37" t="s">
        <v>160</v>
      </c>
      <c r="H40" s="37" t="s">
        <v>180</v>
      </c>
      <c r="I40" s="37" t="s">
        <v>216</v>
      </c>
      <c r="J40" s="37">
        <v>2</v>
      </c>
      <c r="K40" s="37"/>
      <c r="L40" s="47"/>
    </row>
    <row r="41" spans="1:12" s="65" customFormat="1" ht="36" x14ac:dyDescent="0.25">
      <c r="A41" s="63"/>
      <c r="B41" s="40">
        <f t="shared" si="0"/>
        <v>32</v>
      </c>
      <c r="C41" s="48" t="s">
        <v>15</v>
      </c>
      <c r="D41" s="42" t="s">
        <v>45</v>
      </c>
      <c r="E41" s="42" t="s">
        <v>240</v>
      </c>
      <c r="F41" s="42" t="s">
        <v>239</v>
      </c>
      <c r="G41" s="42" t="s">
        <v>277</v>
      </c>
      <c r="H41" s="42" t="s">
        <v>180</v>
      </c>
      <c r="I41" s="42" t="s">
        <v>217</v>
      </c>
      <c r="J41" s="42">
        <v>1</v>
      </c>
      <c r="K41" s="42"/>
      <c r="L41" s="47"/>
    </row>
    <row r="42" spans="1:12" s="65" customFormat="1" x14ac:dyDescent="0.25">
      <c r="A42" s="63"/>
      <c r="B42" s="39">
        <f>ROW(B42) - ROW($B$9)</f>
        <v>33</v>
      </c>
      <c r="C42" s="48" t="s">
        <v>15</v>
      </c>
      <c r="D42" s="37" t="s">
        <v>46</v>
      </c>
      <c r="E42" s="37" t="s">
        <v>91</v>
      </c>
      <c r="F42" s="37" t="s">
        <v>124</v>
      </c>
      <c r="G42" s="37" t="s">
        <v>161</v>
      </c>
      <c r="H42" s="37" t="s">
        <v>180</v>
      </c>
      <c r="I42" s="37" t="s">
        <v>218</v>
      </c>
      <c r="J42" s="37">
        <v>5</v>
      </c>
      <c r="K42" s="37"/>
      <c r="L42" s="47"/>
    </row>
    <row r="43" spans="1:12" s="65" customFormat="1" x14ac:dyDescent="0.25">
      <c r="A43" s="63"/>
      <c r="B43" s="40">
        <f t="shared" si="0"/>
        <v>34</v>
      </c>
      <c r="C43" s="48" t="s">
        <v>15</v>
      </c>
      <c r="D43" s="42" t="s">
        <v>47</v>
      </c>
      <c r="E43" s="42" t="s">
        <v>92</v>
      </c>
      <c r="F43" s="42" t="s">
        <v>124</v>
      </c>
      <c r="G43" s="42" t="s">
        <v>162</v>
      </c>
      <c r="H43" s="42" t="s">
        <v>180</v>
      </c>
      <c r="I43" s="42" t="s">
        <v>219</v>
      </c>
      <c r="J43" s="42">
        <v>2</v>
      </c>
      <c r="K43" s="42"/>
      <c r="L43" s="47"/>
    </row>
    <row r="44" spans="1:12" s="65" customFormat="1" x14ac:dyDescent="0.25">
      <c r="A44" s="63"/>
      <c r="B44" s="39">
        <f>ROW(B44) - ROW($B$9)</f>
        <v>35</v>
      </c>
      <c r="C44" s="48" t="s">
        <v>15</v>
      </c>
      <c r="D44" s="37" t="s">
        <v>48</v>
      </c>
      <c r="E44" s="37" t="s">
        <v>93</v>
      </c>
      <c r="F44" s="37" t="s">
        <v>124</v>
      </c>
      <c r="G44" s="37" t="s">
        <v>163</v>
      </c>
      <c r="H44" s="37" t="s">
        <v>180</v>
      </c>
      <c r="I44" s="37" t="s">
        <v>220</v>
      </c>
      <c r="J44" s="37">
        <v>3</v>
      </c>
      <c r="K44" s="37"/>
      <c r="L44" s="47"/>
    </row>
    <row r="45" spans="1:12" s="65" customFormat="1" x14ac:dyDescent="0.25">
      <c r="A45" s="63"/>
      <c r="B45" s="40">
        <f t="shared" si="0"/>
        <v>36</v>
      </c>
      <c r="C45" s="48" t="s">
        <v>15</v>
      </c>
      <c r="D45" s="42" t="s">
        <v>49</v>
      </c>
      <c r="E45" s="42" t="s">
        <v>94</v>
      </c>
      <c r="F45" s="42" t="s">
        <v>124</v>
      </c>
      <c r="G45" s="42" t="s">
        <v>164</v>
      </c>
      <c r="H45" s="42" t="s">
        <v>180</v>
      </c>
      <c r="I45" s="42" t="s">
        <v>221</v>
      </c>
      <c r="J45" s="42">
        <v>2</v>
      </c>
      <c r="K45" s="42"/>
      <c r="L45" s="47"/>
    </row>
    <row r="46" spans="1:12" s="65" customFormat="1" x14ac:dyDescent="0.25">
      <c r="A46" s="63"/>
      <c r="B46" s="39">
        <f>ROW(B46) - ROW($B$9)</f>
        <v>37</v>
      </c>
      <c r="C46" s="48" t="s">
        <v>15</v>
      </c>
      <c r="D46" s="37" t="s">
        <v>50</v>
      </c>
      <c r="E46" s="37" t="s">
        <v>95</v>
      </c>
      <c r="F46" s="37" t="s">
        <v>124</v>
      </c>
      <c r="G46" s="37" t="s">
        <v>165</v>
      </c>
      <c r="H46" s="37" t="s">
        <v>180</v>
      </c>
      <c r="I46" s="37" t="s">
        <v>222</v>
      </c>
      <c r="J46" s="37">
        <v>2</v>
      </c>
      <c r="K46" s="37"/>
      <c r="L46" s="47"/>
    </row>
    <row r="47" spans="1:12" s="65" customFormat="1" x14ac:dyDescent="0.25">
      <c r="A47" s="63"/>
      <c r="B47" s="40">
        <f t="shared" si="0"/>
        <v>38</v>
      </c>
      <c r="C47" s="48" t="s">
        <v>15</v>
      </c>
      <c r="D47" s="42" t="s">
        <v>51</v>
      </c>
      <c r="E47" s="42" t="s">
        <v>96</v>
      </c>
      <c r="F47" s="42" t="s">
        <v>124</v>
      </c>
      <c r="G47" s="42" t="s">
        <v>166</v>
      </c>
      <c r="H47" s="42" t="s">
        <v>180</v>
      </c>
      <c r="I47" s="42" t="s">
        <v>223</v>
      </c>
      <c r="J47" s="42">
        <v>1</v>
      </c>
      <c r="K47" s="42"/>
      <c r="L47" s="47"/>
    </row>
    <row r="48" spans="1:12" s="65" customFormat="1" x14ac:dyDescent="0.25">
      <c r="A48" s="63"/>
      <c r="B48" s="39">
        <f>ROW(B48) - ROW($B$9)</f>
        <v>39</v>
      </c>
      <c r="C48" s="48" t="s">
        <v>15</v>
      </c>
      <c r="D48" s="37" t="s">
        <v>52</v>
      </c>
      <c r="E48" s="37" t="s">
        <v>97</v>
      </c>
      <c r="F48" s="37" t="s">
        <v>124</v>
      </c>
      <c r="G48" s="37" t="s">
        <v>167</v>
      </c>
      <c r="H48" s="37" t="s">
        <v>180</v>
      </c>
      <c r="I48" s="37" t="s">
        <v>224</v>
      </c>
      <c r="J48" s="37">
        <v>1</v>
      </c>
      <c r="K48" s="37"/>
      <c r="L48" s="47"/>
    </row>
    <row r="49" spans="1:13" s="65" customFormat="1" x14ac:dyDescent="0.25">
      <c r="A49" s="63"/>
      <c r="B49" s="39">
        <f>ROW(B49) - ROW($B$9)</f>
        <v>40</v>
      </c>
      <c r="C49" s="48" t="s">
        <v>125</v>
      </c>
      <c r="D49" s="50" t="s">
        <v>258</v>
      </c>
      <c r="E49" s="50" t="s">
        <v>98</v>
      </c>
      <c r="F49" s="50" t="s">
        <v>228</v>
      </c>
      <c r="G49" s="50" t="s">
        <v>125</v>
      </c>
      <c r="H49" s="51" t="s">
        <v>227</v>
      </c>
      <c r="I49" s="50" t="s">
        <v>227</v>
      </c>
      <c r="J49" s="50">
        <v>6</v>
      </c>
      <c r="K49" s="50"/>
      <c r="L49" s="53"/>
    </row>
    <row r="50" spans="1:13" s="65" customFormat="1" x14ac:dyDescent="0.25">
      <c r="A50" s="63"/>
      <c r="B50" s="40">
        <f t="shared" si="0"/>
        <v>41</v>
      </c>
      <c r="C50" s="49" t="s">
        <v>16</v>
      </c>
      <c r="D50" s="42" t="s">
        <v>259</v>
      </c>
      <c r="E50" s="42" t="s">
        <v>99</v>
      </c>
      <c r="F50" s="42" t="s">
        <v>228</v>
      </c>
      <c r="G50" s="42" t="s">
        <v>126</v>
      </c>
      <c r="H50" s="42" t="s">
        <v>190</v>
      </c>
      <c r="I50" s="37" t="s">
        <v>227</v>
      </c>
      <c r="J50" s="42">
        <v>2</v>
      </c>
      <c r="K50" s="42"/>
      <c r="L50" s="47"/>
    </row>
    <row r="51" spans="1:13" ht="36" x14ac:dyDescent="0.25">
      <c r="A51" s="1"/>
      <c r="B51" s="39">
        <f>ROW(B51) - ROW($B$9)</f>
        <v>42</v>
      </c>
      <c r="C51" s="49" t="s">
        <v>16</v>
      </c>
      <c r="D51" s="37" t="s">
        <v>260</v>
      </c>
      <c r="E51" s="37" t="s">
        <v>261</v>
      </c>
      <c r="F51" s="37" t="s">
        <v>228</v>
      </c>
      <c r="G51" s="37" t="s">
        <v>262</v>
      </c>
      <c r="H51" s="37" t="s">
        <v>263</v>
      </c>
      <c r="I51" s="37" t="s">
        <v>227</v>
      </c>
      <c r="J51" s="37">
        <v>1</v>
      </c>
      <c r="K51" s="38"/>
      <c r="L51" s="37"/>
      <c r="M51" s="65"/>
    </row>
    <row r="52" spans="1:13" s="65" customFormat="1" ht="48" x14ac:dyDescent="0.25">
      <c r="A52" s="63"/>
      <c r="B52" s="40">
        <f>ROW(B52) - ROW($B$9)</f>
        <v>43</v>
      </c>
      <c r="C52" s="49" t="s">
        <v>16</v>
      </c>
      <c r="D52" s="42" t="s">
        <v>226</v>
      </c>
      <c r="E52" s="42" t="s">
        <v>105</v>
      </c>
      <c r="F52" s="42" t="s">
        <v>228</v>
      </c>
      <c r="G52" s="42" t="s">
        <v>132</v>
      </c>
      <c r="H52" s="42" t="s">
        <v>196</v>
      </c>
      <c r="I52" s="37" t="s">
        <v>227</v>
      </c>
      <c r="J52" s="42">
        <v>1</v>
      </c>
      <c r="K52" s="42"/>
      <c r="L52" s="47"/>
    </row>
    <row r="53" spans="1:13" s="65" customFormat="1" ht="24" x14ac:dyDescent="0.25">
      <c r="A53" s="63"/>
      <c r="B53" s="39">
        <f>ROW(B53) - ROW($B$9)</f>
        <v>44</v>
      </c>
      <c r="C53" s="48" t="s">
        <v>17</v>
      </c>
      <c r="D53" s="37" t="s">
        <v>53</v>
      </c>
      <c r="E53" s="37" t="s">
        <v>100</v>
      </c>
      <c r="F53" s="37" t="s">
        <v>127</v>
      </c>
      <c r="G53" s="37" t="s">
        <v>168</v>
      </c>
      <c r="H53" s="37" t="s">
        <v>191</v>
      </c>
      <c r="I53" s="37" t="s">
        <v>227</v>
      </c>
      <c r="J53" s="37">
        <v>1</v>
      </c>
      <c r="K53" s="37"/>
      <c r="L53" s="47"/>
    </row>
    <row r="54" spans="1:13" s="65" customFormat="1" x14ac:dyDescent="0.25">
      <c r="A54" s="63"/>
      <c r="B54" s="40">
        <f t="shared" si="0"/>
        <v>45</v>
      </c>
      <c r="C54" s="49" t="s">
        <v>17</v>
      </c>
      <c r="D54" s="42" t="s">
        <v>54</v>
      </c>
      <c r="E54" s="42" t="s">
        <v>101</v>
      </c>
      <c r="F54" s="42" t="s">
        <v>128</v>
      </c>
      <c r="G54" s="42" t="s">
        <v>169</v>
      </c>
      <c r="H54" s="42" t="s">
        <v>192</v>
      </c>
      <c r="I54" s="37" t="s">
        <v>227</v>
      </c>
      <c r="J54" s="42">
        <v>1</v>
      </c>
      <c r="K54" s="42"/>
      <c r="L54" s="47"/>
    </row>
    <row r="55" spans="1:13" s="65" customFormat="1" ht="24" x14ac:dyDescent="0.25">
      <c r="A55" s="63"/>
      <c r="B55" s="39">
        <f>ROW(B55) - ROW($B$9)</f>
        <v>46</v>
      </c>
      <c r="C55" s="48" t="s">
        <v>14</v>
      </c>
      <c r="D55" s="37" t="s">
        <v>55</v>
      </c>
      <c r="E55" s="37" t="s">
        <v>102</v>
      </c>
      <c r="F55" s="37" t="s">
        <v>129</v>
      </c>
      <c r="G55" s="37" t="s">
        <v>170</v>
      </c>
      <c r="H55" s="37" t="s">
        <v>193</v>
      </c>
      <c r="I55" s="37" t="s">
        <v>227</v>
      </c>
      <c r="J55" s="37">
        <v>1</v>
      </c>
      <c r="K55" s="37"/>
      <c r="L55" s="47"/>
    </row>
    <row r="56" spans="1:13" s="65" customFormat="1" ht="24" x14ac:dyDescent="0.25">
      <c r="A56" s="63"/>
      <c r="B56" s="40">
        <f t="shared" si="0"/>
        <v>47</v>
      </c>
      <c r="C56" s="49" t="s">
        <v>17</v>
      </c>
      <c r="D56" s="42" t="s">
        <v>56</v>
      </c>
      <c r="E56" s="42" t="s">
        <v>103</v>
      </c>
      <c r="F56" s="42" t="s">
        <v>130</v>
      </c>
      <c r="G56" s="42" t="s">
        <v>171</v>
      </c>
      <c r="H56" s="42" t="s">
        <v>194</v>
      </c>
      <c r="I56" s="37" t="s">
        <v>227</v>
      </c>
      <c r="J56" s="42">
        <v>1</v>
      </c>
      <c r="K56" s="42"/>
      <c r="L56" s="47"/>
    </row>
    <row r="57" spans="1:13" s="65" customFormat="1" ht="24" x14ac:dyDescent="0.25">
      <c r="A57" s="63"/>
      <c r="B57" s="39">
        <f>ROW(B57) - ROW($B$9)</f>
        <v>48</v>
      </c>
      <c r="C57" s="48" t="s">
        <v>17</v>
      </c>
      <c r="D57" s="37" t="s">
        <v>57</v>
      </c>
      <c r="E57" s="37" t="s">
        <v>104</v>
      </c>
      <c r="F57" s="37" t="s">
        <v>131</v>
      </c>
      <c r="G57" s="37" t="s">
        <v>172</v>
      </c>
      <c r="H57" s="37" t="s">
        <v>195</v>
      </c>
      <c r="I57" s="37" t="s">
        <v>227</v>
      </c>
      <c r="J57" s="37">
        <v>1</v>
      </c>
      <c r="K57" s="37"/>
      <c r="L57" s="47"/>
    </row>
    <row r="58" spans="1:13" s="65" customFormat="1" ht="24" x14ac:dyDescent="0.25">
      <c r="A58" s="63"/>
      <c r="B58" s="39">
        <f>ROW(B58) - ROW($B$9)</f>
        <v>49</v>
      </c>
      <c r="C58" s="48" t="s">
        <v>18</v>
      </c>
      <c r="D58" s="37" t="s">
        <v>58</v>
      </c>
      <c r="E58" s="37" t="s">
        <v>106</v>
      </c>
      <c r="F58" s="37" t="s">
        <v>133</v>
      </c>
      <c r="G58" s="37" t="s">
        <v>173</v>
      </c>
      <c r="H58" s="37" t="s">
        <v>197</v>
      </c>
      <c r="I58" s="37" t="s">
        <v>227</v>
      </c>
      <c r="J58" s="37">
        <v>1</v>
      </c>
      <c r="K58" s="37"/>
      <c r="L58" s="47"/>
    </row>
    <row r="59" spans="1:13" s="65" customFormat="1" ht="24" x14ac:dyDescent="0.25">
      <c r="A59" s="63"/>
      <c r="B59" s="40">
        <f t="shared" si="0"/>
        <v>50</v>
      </c>
      <c r="C59" s="49" t="s">
        <v>17</v>
      </c>
      <c r="D59" s="42" t="s">
        <v>59</v>
      </c>
      <c r="E59" s="42" t="s">
        <v>107</v>
      </c>
      <c r="F59" s="42" t="s">
        <v>134</v>
      </c>
      <c r="G59" s="42" t="s">
        <v>174</v>
      </c>
      <c r="H59" s="42" t="s">
        <v>198</v>
      </c>
      <c r="I59" s="37" t="s">
        <v>227</v>
      </c>
      <c r="J59" s="42">
        <v>1</v>
      </c>
      <c r="K59" s="42"/>
      <c r="L59" s="47"/>
    </row>
    <row r="60" spans="1:13" s="65" customFormat="1" ht="24" x14ac:dyDescent="0.25">
      <c r="A60" s="63"/>
      <c r="B60" s="39">
        <f>ROW(B60) - ROW($B$9)</f>
        <v>51</v>
      </c>
      <c r="C60" s="48" t="s">
        <v>17</v>
      </c>
      <c r="D60" s="37" t="s">
        <v>60</v>
      </c>
      <c r="E60" s="37" t="s">
        <v>108</v>
      </c>
      <c r="F60" s="37" t="s">
        <v>135</v>
      </c>
      <c r="G60" s="37" t="s">
        <v>175</v>
      </c>
      <c r="H60" s="37" t="s">
        <v>199</v>
      </c>
      <c r="I60" s="37" t="s">
        <v>227</v>
      </c>
      <c r="J60" s="37">
        <v>1</v>
      </c>
      <c r="K60" s="37"/>
      <c r="L60" s="47"/>
    </row>
    <row r="61" spans="1:13" s="65" customFormat="1" x14ac:dyDescent="0.25">
      <c r="A61" s="63"/>
      <c r="B61" s="40">
        <f t="shared" si="0"/>
        <v>52</v>
      </c>
      <c r="C61" s="49" t="s">
        <v>17</v>
      </c>
      <c r="D61" s="42" t="s">
        <v>61</v>
      </c>
      <c r="E61" s="42" t="s">
        <v>109</v>
      </c>
      <c r="F61" s="42" t="s">
        <v>136</v>
      </c>
      <c r="G61" s="42" t="s">
        <v>176</v>
      </c>
      <c r="H61" s="42" t="s">
        <v>200</v>
      </c>
      <c r="I61" s="37" t="s">
        <v>227</v>
      </c>
      <c r="J61" s="42">
        <v>1</v>
      </c>
      <c r="K61" s="42"/>
      <c r="L61" s="47"/>
    </row>
    <row r="62" spans="1:13" s="65" customFormat="1" ht="24" x14ac:dyDescent="0.25">
      <c r="A62" s="63"/>
      <c r="B62" s="39">
        <f>ROW(B62) - ROW($B$9)</f>
        <v>53</v>
      </c>
      <c r="C62" s="48" t="s">
        <v>17</v>
      </c>
      <c r="D62" s="37" t="s">
        <v>62</v>
      </c>
      <c r="E62" s="37" t="s">
        <v>110</v>
      </c>
      <c r="F62" s="37" t="s">
        <v>137</v>
      </c>
      <c r="G62" s="37" t="s">
        <v>177</v>
      </c>
      <c r="H62" s="37" t="s">
        <v>194</v>
      </c>
      <c r="I62" s="37" t="s">
        <v>227</v>
      </c>
      <c r="J62" s="37">
        <v>1</v>
      </c>
      <c r="K62" s="37"/>
      <c r="L62" s="47"/>
    </row>
    <row r="63" spans="1:13" s="65" customFormat="1" ht="24" x14ac:dyDescent="0.25">
      <c r="A63" s="63"/>
      <c r="B63" s="54">
        <f t="shared" si="0"/>
        <v>54</v>
      </c>
      <c r="C63" s="55" t="s">
        <v>17</v>
      </c>
      <c r="D63" s="47" t="s">
        <v>63</v>
      </c>
      <c r="E63" s="47" t="s">
        <v>111</v>
      </c>
      <c r="F63" s="47" t="s">
        <v>138</v>
      </c>
      <c r="G63" s="47" t="s">
        <v>178</v>
      </c>
      <c r="H63" s="47" t="s">
        <v>201</v>
      </c>
      <c r="I63" s="56" t="s">
        <v>227</v>
      </c>
      <c r="J63" s="47">
        <v>1</v>
      </c>
      <c r="K63" s="47"/>
      <c r="L63" s="47"/>
    </row>
    <row r="64" spans="1:13" s="65" customFormat="1" ht="25.5" x14ac:dyDescent="0.25">
      <c r="A64" s="63"/>
      <c r="B64" s="54">
        <f t="shared" si="0"/>
        <v>55</v>
      </c>
      <c r="C64" s="55" t="s">
        <v>269</v>
      </c>
      <c r="D64" s="47" t="s">
        <v>227</v>
      </c>
      <c r="E64" s="47" t="s">
        <v>227</v>
      </c>
      <c r="F64" s="47" t="s">
        <v>227</v>
      </c>
      <c r="G64" s="47" t="s">
        <v>227</v>
      </c>
      <c r="H64" s="47" t="s">
        <v>227</v>
      </c>
      <c r="I64" s="47" t="s">
        <v>227</v>
      </c>
      <c r="J64" s="47">
        <v>1</v>
      </c>
      <c r="K64" s="74" t="s">
        <v>276</v>
      </c>
      <c r="L64" s="47"/>
    </row>
    <row r="65" spans="1:12" s="65" customFormat="1" ht="25.5" x14ac:dyDescent="0.25">
      <c r="A65" s="63"/>
      <c r="B65" s="54">
        <f t="shared" si="0"/>
        <v>56</v>
      </c>
      <c r="C65" s="55" t="s">
        <v>270</v>
      </c>
      <c r="D65" s="47" t="s">
        <v>227</v>
      </c>
      <c r="E65" s="47" t="s">
        <v>227</v>
      </c>
      <c r="F65" s="47" t="s">
        <v>227</v>
      </c>
      <c r="G65" s="47" t="s">
        <v>227</v>
      </c>
      <c r="H65" s="47" t="s">
        <v>227</v>
      </c>
      <c r="I65" s="47" t="s">
        <v>227</v>
      </c>
      <c r="J65" s="47">
        <v>1</v>
      </c>
      <c r="K65" s="74" t="s">
        <v>276</v>
      </c>
      <c r="L65" s="47"/>
    </row>
    <row r="66" spans="1:12" s="65" customFormat="1" ht="25.5" x14ac:dyDescent="0.25">
      <c r="A66" s="63"/>
      <c r="B66" s="54">
        <f t="shared" si="0"/>
        <v>57</v>
      </c>
      <c r="C66" s="55" t="s">
        <v>275</v>
      </c>
      <c r="D66" s="47" t="s">
        <v>227</v>
      </c>
      <c r="E66" s="47" t="s">
        <v>227</v>
      </c>
      <c r="F66" s="47" t="s">
        <v>227</v>
      </c>
      <c r="G66" s="47" t="s">
        <v>227</v>
      </c>
      <c r="H66" s="47" t="s">
        <v>227</v>
      </c>
      <c r="I66" s="47"/>
      <c r="J66" s="47">
        <v>1</v>
      </c>
      <c r="K66" s="74" t="s">
        <v>276</v>
      </c>
      <c r="L66" s="47"/>
    </row>
    <row r="67" spans="1:12" s="65" customFormat="1" ht="24.75" thickBot="1" x14ac:dyDescent="0.3">
      <c r="A67" s="63"/>
      <c r="B67" s="54">
        <f t="shared" si="0"/>
        <v>58</v>
      </c>
      <c r="C67" s="55" t="s">
        <v>271</v>
      </c>
      <c r="D67" s="47" t="s">
        <v>227</v>
      </c>
      <c r="E67" s="47" t="s">
        <v>272</v>
      </c>
      <c r="F67" s="47" t="s">
        <v>227</v>
      </c>
      <c r="G67" s="47" t="s">
        <v>273</v>
      </c>
      <c r="H67" s="47" t="s">
        <v>274</v>
      </c>
      <c r="I67" s="47" t="s">
        <v>227</v>
      </c>
      <c r="J67" s="47">
        <v>1</v>
      </c>
      <c r="K67" s="47"/>
      <c r="L67" s="47"/>
    </row>
    <row r="68" spans="1:12" ht="15.75" thickBot="1" x14ac:dyDescent="0.3">
      <c r="A68" s="1"/>
      <c r="B68" s="67"/>
      <c r="C68" s="68"/>
      <c r="D68" s="69"/>
      <c r="E68" s="70"/>
      <c r="F68" s="71"/>
      <c r="G68" s="72"/>
      <c r="H68" s="71"/>
      <c r="I68" s="72"/>
      <c r="J68" s="72"/>
      <c r="K68" s="79"/>
      <c r="L68" s="80"/>
    </row>
    <row r="72" spans="1:12" ht="15.75" thickBot="1" x14ac:dyDescent="0.3"/>
    <row r="73" spans="1:12" ht="15.75" thickBot="1" x14ac:dyDescent="0.3">
      <c r="A73" s="1"/>
      <c r="B73" s="30" t="s">
        <v>4</v>
      </c>
      <c r="C73" s="30" t="s">
        <v>6</v>
      </c>
      <c r="D73" s="30" t="s">
        <v>19</v>
      </c>
      <c r="E73" s="30" t="s">
        <v>64</v>
      </c>
      <c r="F73" s="30" t="s">
        <v>112</v>
      </c>
      <c r="G73" s="30" t="s">
        <v>139</v>
      </c>
      <c r="H73" s="30" t="s">
        <v>179</v>
      </c>
      <c r="I73" s="30" t="s">
        <v>230</v>
      </c>
      <c r="J73" s="30" t="s">
        <v>225</v>
      </c>
      <c r="K73" s="30" t="s">
        <v>233</v>
      </c>
      <c r="L73" s="30" t="s">
        <v>234</v>
      </c>
    </row>
    <row r="74" spans="1:12" x14ac:dyDescent="0.25">
      <c r="A74" s="1"/>
      <c r="B74" s="39">
        <v>1</v>
      </c>
      <c r="C74" s="85" t="s">
        <v>7</v>
      </c>
      <c r="D74" s="37" t="s">
        <v>278</v>
      </c>
      <c r="E74" s="37" t="s">
        <v>279</v>
      </c>
      <c r="F74" s="37" t="s">
        <v>115</v>
      </c>
      <c r="G74" s="37" t="s">
        <v>280</v>
      </c>
      <c r="H74" s="37" t="s">
        <v>281</v>
      </c>
      <c r="I74" s="37" t="s">
        <v>282</v>
      </c>
      <c r="J74" s="37">
        <v>4</v>
      </c>
      <c r="K74" s="37"/>
      <c r="L74" s="41"/>
    </row>
    <row r="75" spans="1:12" x14ac:dyDescent="0.25">
      <c r="A75" s="1"/>
      <c r="B75" s="39">
        <v>2</v>
      </c>
      <c r="C75" s="86" t="s">
        <v>7</v>
      </c>
      <c r="D75" s="42" t="s">
        <v>283</v>
      </c>
      <c r="E75" s="42" t="s">
        <v>69</v>
      </c>
      <c r="F75" s="42" t="s">
        <v>115</v>
      </c>
      <c r="G75" s="42" t="s">
        <v>144</v>
      </c>
      <c r="H75" s="42" t="s">
        <v>180</v>
      </c>
      <c r="I75" s="42" t="s">
        <v>206</v>
      </c>
      <c r="J75" s="42">
        <v>1</v>
      </c>
      <c r="K75" s="42"/>
      <c r="L75" s="42"/>
    </row>
    <row r="76" spans="1:12" x14ac:dyDescent="0.25">
      <c r="A76" s="1"/>
      <c r="B76" s="39">
        <v>3</v>
      </c>
      <c r="C76" s="85" t="s">
        <v>8</v>
      </c>
      <c r="D76" s="37" t="s">
        <v>284</v>
      </c>
      <c r="E76" s="37" t="s">
        <v>285</v>
      </c>
      <c r="F76" s="37" t="s">
        <v>286</v>
      </c>
      <c r="G76" s="37" t="s">
        <v>287</v>
      </c>
      <c r="H76" s="37" t="s">
        <v>288</v>
      </c>
      <c r="I76" s="37" t="s">
        <v>227</v>
      </c>
      <c r="J76" s="37">
        <v>1</v>
      </c>
      <c r="K76" s="37"/>
      <c r="L76" s="47"/>
    </row>
    <row r="77" spans="1:12" ht="24" x14ac:dyDescent="0.25">
      <c r="A77" s="1"/>
      <c r="B77" s="39">
        <v>4</v>
      </c>
      <c r="C77" s="86" t="s">
        <v>289</v>
      </c>
      <c r="D77" s="42" t="s">
        <v>290</v>
      </c>
      <c r="E77" s="42" t="s">
        <v>291</v>
      </c>
      <c r="F77" s="42" t="s">
        <v>292</v>
      </c>
      <c r="G77" s="42" t="s">
        <v>293</v>
      </c>
      <c r="H77" s="42" t="s">
        <v>294</v>
      </c>
      <c r="I77" s="42" t="s">
        <v>227</v>
      </c>
      <c r="J77" s="42">
        <v>1</v>
      </c>
      <c r="K77" s="42"/>
      <c r="L77" s="47"/>
    </row>
    <row r="78" spans="1:12" ht="48" x14ac:dyDescent="0.25">
      <c r="A78" s="1"/>
      <c r="B78" s="39">
        <v>5</v>
      </c>
      <c r="C78" s="85" t="s">
        <v>254</v>
      </c>
      <c r="D78" s="37" t="s">
        <v>35</v>
      </c>
      <c r="E78" s="37" t="s">
        <v>256</v>
      </c>
      <c r="F78" s="37" t="s">
        <v>228</v>
      </c>
      <c r="G78" s="37" t="s">
        <v>257</v>
      </c>
      <c r="H78" s="37" t="s">
        <v>253</v>
      </c>
      <c r="I78" s="37" t="s">
        <v>227</v>
      </c>
      <c r="J78" s="37">
        <v>1</v>
      </c>
      <c r="K78" s="37"/>
      <c r="L78" s="47"/>
    </row>
    <row r="79" spans="1:12" ht="24" x14ac:dyDescent="0.25">
      <c r="A79" s="1"/>
      <c r="B79" s="39">
        <v>6</v>
      </c>
      <c r="C79" s="86" t="s">
        <v>295</v>
      </c>
      <c r="D79" s="42" t="s">
        <v>296</v>
      </c>
      <c r="E79" s="42" t="s">
        <v>297</v>
      </c>
      <c r="F79" s="42" t="s">
        <v>228</v>
      </c>
      <c r="G79" s="42" t="s">
        <v>298</v>
      </c>
      <c r="H79" s="42" t="s">
        <v>299</v>
      </c>
      <c r="I79" s="42" t="s">
        <v>227</v>
      </c>
      <c r="J79" s="42">
        <v>1</v>
      </c>
      <c r="K79" s="42"/>
      <c r="L79" s="47"/>
    </row>
    <row r="80" spans="1:12" x14ac:dyDescent="0.25">
      <c r="A80" s="1"/>
      <c r="B80" s="39">
        <v>7</v>
      </c>
      <c r="C80" s="85" t="s">
        <v>15</v>
      </c>
      <c r="D80" s="37" t="s">
        <v>300</v>
      </c>
      <c r="E80" s="37" t="s">
        <v>301</v>
      </c>
      <c r="F80" s="37" t="s">
        <v>302</v>
      </c>
      <c r="G80" s="37" t="s">
        <v>303</v>
      </c>
      <c r="H80" s="37" t="s">
        <v>180</v>
      </c>
      <c r="I80" s="37" t="s">
        <v>304</v>
      </c>
      <c r="J80" s="37">
        <v>2</v>
      </c>
      <c r="K80" s="37"/>
      <c r="L80" s="47"/>
    </row>
    <row r="81" spans="1:12" ht="48.75" thickBot="1" x14ac:dyDescent="0.3">
      <c r="A81" s="1"/>
      <c r="B81" s="87">
        <v>8</v>
      </c>
      <c r="C81" s="88" t="s">
        <v>16</v>
      </c>
      <c r="D81" s="89" t="s">
        <v>305</v>
      </c>
      <c r="E81" s="89" t="s">
        <v>306</v>
      </c>
      <c r="F81" s="89" t="s">
        <v>228</v>
      </c>
      <c r="G81" s="89" t="s">
        <v>307</v>
      </c>
      <c r="H81" s="89" t="s">
        <v>308</v>
      </c>
      <c r="I81" s="89" t="s">
        <v>227</v>
      </c>
      <c r="J81" s="89">
        <v>1</v>
      </c>
      <c r="K81" s="89"/>
      <c r="L81" s="89"/>
    </row>
  </sheetData>
  <mergeCells count="3">
    <mergeCell ref="I1:L1"/>
    <mergeCell ref="L3:L8"/>
    <mergeCell ref="K68:L6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69"/>
  <sheetViews>
    <sheetView workbookViewId="0">
      <selection activeCell="E22" sqref="E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6.5703125" bestFit="1" customWidth="1"/>
    <col min="14" max="14" width="26.85546875" bestFit="1" customWidth="1"/>
  </cols>
  <sheetData>
    <row r="1" spans="1:1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75"/>
      <c r="K1" s="75"/>
      <c r="L1" s="75"/>
      <c r="M1" s="75"/>
      <c r="N1" s="76"/>
    </row>
    <row r="2" spans="1:14" ht="32.25" thickBot="1" x14ac:dyDescent="0.3">
      <c r="A2" s="1"/>
      <c r="B2" s="21"/>
      <c r="C2" s="31"/>
      <c r="D2" s="11" t="s">
        <v>0</v>
      </c>
      <c r="E2" s="11"/>
      <c r="F2" s="44" t="s">
        <v>235</v>
      </c>
      <c r="G2" s="12"/>
      <c r="H2" s="4"/>
      <c r="I2" s="12"/>
      <c r="J2" s="4"/>
      <c r="K2" s="4"/>
      <c r="L2" s="4"/>
      <c r="M2" s="4"/>
      <c r="N2" s="3"/>
    </row>
    <row r="3" spans="1:14" x14ac:dyDescent="0.25">
      <c r="A3" s="1"/>
      <c r="B3" s="22"/>
      <c r="C3" s="32"/>
      <c r="D3" s="13" t="s">
        <v>1</v>
      </c>
      <c r="E3" s="13"/>
      <c r="F3" s="45" t="s">
        <v>236</v>
      </c>
      <c r="G3" s="13"/>
      <c r="H3" s="5"/>
      <c r="I3" s="13"/>
      <c r="J3" s="5"/>
      <c r="K3" s="5"/>
      <c r="L3" s="5"/>
      <c r="M3" s="5"/>
      <c r="N3" s="77"/>
    </row>
    <row r="4" spans="1:14" x14ac:dyDescent="0.25">
      <c r="A4" s="1"/>
      <c r="B4" s="22"/>
      <c r="C4" s="32"/>
      <c r="D4" s="13" t="s">
        <v>2</v>
      </c>
      <c r="E4" s="13"/>
      <c r="F4" s="45" t="s">
        <v>236</v>
      </c>
      <c r="G4" s="14"/>
      <c r="H4" s="7"/>
      <c r="I4" s="14"/>
      <c r="J4" s="7"/>
      <c r="K4" s="6"/>
      <c r="L4" s="6"/>
      <c r="M4" s="6"/>
      <c r="N4" s="78"/>
    </row>
    <row r="5" spans="1:14" x14ac:dyDescent="0.25">
      <c r="A5" s="1"/>
      <c r="B5" s="22"/>
      <c r="C5" s="32"/>
      <c r="D5" s="13" t="s">
        <v>3</v>
      </c>
      <c r="E5" s="13"/>
      <c r="F5" s="46" t="s">
        <v>5</v>
      </c>
      <c r="G5" s="15"/>
      <c r="H5" s="6"/>
      <c r="I5" s="15"/>
      <c r="J5" s="6"/>
      <c r="K5" s="6"/>
      <c r="L5" s="6"/>
      <c r="M5" s="6"/>
      <c r="N5" s="78"/>
    </row>
    <row r="6" spans="1:14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78"/>
    </row>
    <row r="7" spans="1:14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78"/>
    </row>
    <row r="8" spans="1:14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78"/>
    </row>
    <row r="9" spans="1:14" ht="15.75" thickBot="1" x14ac:dyDescent="0.3">
      <c r="A9" s="1"/>
      <c r="B9" s="30" t="s">
        <v>4</v>
      </c>
      <c r="C9" s="30" t="s">
        <v>6</v>
      </c>
      <c r="D9" s="30" t="s">
        <v>19</v>
      </c>
      <c r="E9" s="30" t="s">
        <v>64</v>
      </c>
      <c r="F9" s="30" t="s">
        <v>112</v>
      </c>
      <c r="G9" s="30" t="s">
        <v>139</v>
      </c>
      <c r="H9" s="30" t="s">
        <v>179</v>
      </c>
      <c r="I9" s="30" t="s">
        <v>231</v>
      </c>
      <c r="J9" s="30" t="s">
        <v>230</v>
      </c>
      <c r="K9" s="30" t="s">
        <v>225</v>
      </c>
      <c r="L9" s="30" t="s">
        <v>232</v>
      </c>
      <c r="M9" s="30" t="s">
        <v>233</v>
      </c>
      <c r="N9" s="30" t="s">
        <v>234</v>
      </c>
    </row>
    <row r="10" spans="1:14" x14ac:dyDescent="0.25">
      <c r="A10" s="1"/>
      <c r="B10" s="39">
        <f>ROW(B10) - ROW($B$9)</f>
        <v>1</v>
      </c>
      <c r="C10" s="48" t="s">
        <v>7</v>
      </c>
      <c r="D10" s="37" t="s">
        <v>237</v>
      </c>
      <c r="E10" s="37" t="s">
        <v>65</v>
      </c>
      <c r="F10" s="37" t="s">
        <v>113</v>
      </c>
      <c r="G10" s="37" t="s">
        <v>140</v>
      </c>
      <c r="H10" s="37" t="s">
        <v>180</v>
      </c>
      <c r="I10" s="37" t="s">
        <v>227</v>
      </c>
      <c r="J10" s="37" t="s">
        <v>202</v>
      </c>
      <c r="K10" s="37">
        <v>3</v>
      </c>
      <c r="L10" s="37">
        <f>K10*5</f>
        <v>15</v>
      </c>
      <c r="M10" s="37"/>
      <c r="N10" s="41"/>
    </row>
    <row r="11" spans="1:14" x14ac:dyDescent="0.25">
      <c r="A11" s="1"/>
      <c r="B11" s="40">
        <f t="shared" ref="B11:B67" si="0">ROW(B11) - ROW($B$9)</f>
        <v>2</v>
      </c>
      <c r="C11" s="48" t="s">
        <v>7</v>
      </c>
      <c r="D11" s="42" t="s">
        <v>20</v>
      </c>
      <c r="E11" s="42" t="s">
        <v>66</v>
      </c>
      <c r="F11" s="42" t="s">
        <v>114</v>
      </c>
      <c r="G11" s="42" t="s">
        <v>141</v>
      </c>
      <c r="H11" s="42" t="s">
        <v>181</v>
      </c>
      <c r="I11" s="42" t="s">
        <v>227</v>
      </c>
      <c r="J11" s="42" t="s">
        <v>203</v>
      </c>
      <c r="K11" s="42">
        <v>2</v>
      </c>
      <c r="L11" s="42">
        <f t="shared" ref="L11" si="1">K11*5</f>
        <v>10</v>
      </c>
      <c r="M11" s="42"/>
      <c r="N11" s="42"/>
    </row>
    <row r="12" spans="1:14" ht="24" x14ac:dyDescent="0.25">
      <c r="A12" s="1"/>
      <c r="B12" s="39">
        <f>ROW(B12) - ROW($B$9)</f>
        <v>3</v>
      </c>
      <c r="C12" s="48" t="s">
        <v>7</v>
      </c>
      <c r="D12" s="37" t="s">
        <v>21</v>
      </c>
      <c r="E12" s="37" t="s">
        <v>67</v>
      </c>
      <c r="F12" s="37" t="s">
        <v>113</v>
      </c>
      <c r="G12" s="37" t="s">
        <v>142</v>
      </c>
      <c r="H12" s="37" t="s">
        <v>180</v>
      </c>
      <c r="I12" s="37" t="s">
        <v>227</v>
      </c>
      <c r="J12" s="37" t="s">
        <v>204</v>
      </c>
      <c r="K12" s="37">
        <v>14</v>
      </c>
      <c r="L12" s="37">
        <f>K12*5</f>
        <v>70</v>
      </c>
      <c r="M12" s="37"/>
      <c r="N12" s="47"/>
    </row>
    <row r="13" spans="1:14" x14ac:dyDescent="0.25">
      <c r="A13" s="1"/>
      <c r="B13" s="40">
        <f t="shared" si="0"/>
        <v>4</v>
      </c>
      <c r="C13" s="48" t="s">
        <v>7</v>
      </c>
      <c r="D13" s="42" t="s">
        <v>22</v>
      </c>
      <c r="E13" s="42" t="s">
        <v>68</v>
      </c>
      <c r="F13" s="42" t="s">
        <v>113</v>
      </c>
      <c r="G13" s="42" t="s">
        <v>143</v>
      </c>
      <c r="H13" s="42" t="s">
        <v>180</v>
      </c>
      <c r="I13" s="42" t="s">
        <v>227</v>
      </c>
      <c r="J13" s="42" t="s">
        <v>205</v>
      </c>
      <c r="K13" s="42">
        <v>1</v>
      </c>
      <c r="L13" s="42">
        <f t="shared" ref="L13" si="2">K13*5</f>
        <v>5</v>
      </c>
      <c r="M13" s="42"/>
      <c r="N13" s="47"/>
    </row>
    <row r="14" spans="1:14" ht="48" x14ac:dyDescent="0.25">
      <c r="A14" s="1"/>
      <c r="B14" s="39">
        <f>ROW(B14) - ROW($B$9)</f>
        <v>5</v>
      </c>
      <c r="C14" s="48" t="s">
        <v>7</v>
      </c>
      <c r="D14" s="37" t="s">
        <v>242</v>
      </c>
      <c r="E14" s="37" t="s">
        <v>69</v>
      </c>
      <c r="F14" s="37" t="s">
        <v>115</v>
      </c>
      <c r="G14" s="37" t="s">
        <v>144</v>
      </c>
      <c r="H14" s="37" t="s">
        <v>180</v>
      </c>
      <c r="I14" s="37" t="s">
        <v>227</v>
      </c>
      <c r="J14" s="37" t="s">
        <v>206</v>
      </c>
      <c r="K14" s="37">
        <v>22</v>
      </c>
      <c r="L14" s="37">
        <f>K14*5</f>
        <v>110</v>
      </c>
      <c r="M14" s="37"/>
      <c r="N14" s="47"/>
    </row>
    <row r="15" spans="1:14" x14ac:dyDescent="0.25">
      <c r="A15" s="1"/>
      <c r="B15" s="40">
        <f t="shared" si="0"/>
        <v>6</v>
      </c>
      <c r="C15" s="48" t="s">
        <v>7</v>
      </c>
      <c r="D15" s="42" t="s">
        <v>23</v>
      </c>
      <c r="E15" s="42" t="s">
        <v>70</v>
      </c>
      <c r="F15" s="42" t="s">
        <v>113</v>
      </c>
      <c r="G15" s="42" t="s">
        <v>145</v>
      </c>
      <c r="H15" s="42" t="s">
        <v>180</v>
      </c>
      <c r="I15" s="42" t="s">
        <v>227</v>
      </c>
      <c r="J15" s="42" t="s">
        <v>207</v>
      </c>
      <c r="K15" s="42">
        <v>2</v>
      </c>
      <c r="L15" s="42">
        <f t="shared" ref="L15" si="3">K15*5</f>
        <v>10</v>
      </c>
      <c r="M15" s="42"/>
      <c r="N15" s="47"/>
    </row>
    <row r="16" spans="1:14" x14ac:dyDescent="0.25">
      <c r="A16" s="1"/>
      <c r="B16" s="39">
        <f>ROW(B16) - ROW($B$9)</f>
        <v>7</v>
      </c>
      <c r="C16" s="48" t="s">
        <v>7</v>
      </c>
      <c r="D16" s="37" t="s">
        <v>24</v>
      </c>
      <c r="E16" s="37" t="s">
        <v>71</v>
      </c>
      <c r="F16" s="37" t="s">
        <v>116</v>
      </c>
      <c r="G16" s="37" t="s">
        <v>146</v>
      </c>
      <c r="H16" s="37" t="s">
        <v>182</v>
      </c>
      <c r="I16" s="37" t="s">
        <v>227</v>
      </c>
      <c r="J16" s="37" t="s">
        <v>208</v>
      </c>
      <c r="K16" s="37">
        <v>2</v>
      </c>
      <c r="L16" s="37">
        <f>K16*5</f>
        <v>10</v>
      </c>
      <c r="M16" s="37"/>
      <c r="N16" s="47"/>
    </row>
    <row r="17" spans="1:14" x14ac:dyDescent="0.25">
      <c r="A17" s="1"/>
      <c r="B17" s="40">
        <f t="shared" si="0"/>
        <v>8</v>
      </c>
      <c r="C17" s="48" t="s">
        <v>7</v>
      </c>
      <c r="D17" s="42" t="s">
        <v>25</v>
      </c>
      <c r="E17" s="42" t="s">
        <v>72</v>
      </c>
      <c r="F17" s="42" t="s">
        <v>113</v>
      </c>
      <c r="G17" s="42" t="s">
        <v>147</v>
      </c>
      <c r="H17" s="42" t="s">
        <v>180</v>
      </c>
      <c r="I17" s="42" t="s">
        <v>227</v>
      </c>
      <c r="J17" s="42" t="s">
        <v>209</v>
      </c>
      <c r="K17" s="42">
        <v>6</v>
      </c>
      <c r="L17" s="42">
        <f t="shared" ref="L17" si="4">K17*5</f>
        <v>30</v>
      </c>
      <c r="M17" s="42"/>
      <c r="N17" s="47"/>
    </row>
    <row r="18" spans="1:14" x14ac:dyDescent="0.25">
      <c r="A18" s="1"/>
      <c r="B18" s="39">
        <f>ROW(B18) - ROW($B$9)</f>
        <v>9</v>
      </c>
      <c r="C18" s="48" t="s">
        <v>7</v>
      </c>
      <c r="D18" s="37" t="s">
        <v>26</v>
      </c>
      <c r="E18" s="37" t="s">
        <v>73</v>
      </c>
      <c r="F18" s="37" t="s">
        <v>115</v>
      </c>
      <c r="G18" s="37" t="s">
        <v>238</v>
      </c>
      <c r="H18" s="37" t="s">
        <v>183</v>
      </c>
      <c r="I18" s="37" t="s">
        <v>227</v>
      </c>
      <c r="J18" s="37" t="s">
        <v>210</v>
      </c>
      <c r="K18" s="37">
        <v>3</v>
      </c>
      <c r="L18" s="37">
        <f>K18*5</f>
        <v>15</v>
      </c>
      <c r="M18" s="37"/>
      <c r="N18" s="47"/>
    </row>
    <row r="19" spans="1:14" x14ac:dyDescent="0.25">
      <c r="A19" s="1"/>
      <c r="B19" s="40">
        <f t="shared" si="0"/>
        <v>10</v>
      </c>
      <c r="C19" s="48" t="s">
        <v>7</v>
      </c>
      <c r="D19" s="42" t="s">
        <v>27</v>
      </c>
      <c r="E19" s="42" t="s">
        <v>74</v>
      </c>
      <c r="F19" s="42" t="s">
        <v>113</v>
      </c>
      <c r="G19" s="42" t="s">
        <v>148</v>
      </c>
      <c r="H19" s="42" t="s">
        <v>180</v>
      </c>
      <c r="I19" s="42" t="s">
        <v>227</v>
      </c>
      <c r="J19" s="42" t="s">
        <v>207</v>
      </c>
      <c r="K19" s="42">
        <v>1</v>
      </c>
      <c r="L19" s="42">
        <f t="shared" ref="L19" si="5">K19*5</f>
        <v>5</v>
      </c>
      <c r="M19" s="42"/>
      <c r="N19" s="47"/>
    </row>
    <row r="20" spans="1:14" x14ac:dyDescent="0.25">
      <c r="A20" s="1"/>
      <c r="B20" s="40">
        <f t="shared" si="0"/>
        <v>11</v>
      </c>
      <c r="C20" s="48" t="s">
        <v>7</v>
      </c>
      <c r="D20" s="42" t="s">
        <v>28</v>
      </c>
      <c r="E20" s="42" t="s">
        <v>75</v>
      </c>
      <c r="F20" s="42" t="s">
        <v>113</v>
      </c>
      <c r="G20" s="42" t="s">
        <v>149</v>
      </c>
      <c r="H20" s="42" t="s">
        <v>180</v>
      </c>
      <c r="I20" s="42" t="s">
        <v>227</v>
      </c>
      <c r="J20" s="42" t="s">
        <v>211</v>
      </c>
      <c r="K20" s="42">
        <v>2</v>
      </c>
      <c r="L20" s="42">
        <f t="shared" ref="L20" si="6">K20*5</f>
        <v>10</v>
      </c>
      <c r="M20" s="42"/>
      <c r="N20" s="47"/>
    </row>
    <row r="21" spans="1:14" x14ac:dyDescent="0.25">
      <c r="A21" s="1"/>
      <c r="B21" s="39">
        <f>ROW(B21) - ROW($B$9)</f>
        <v>12</v>
      </c>
      <c r="C21" s="48" t="s">
        <v>7</v>
      </c>
      <c r="D21" s="37" t="s">
        <v>29</v>
      </c>
      <c r="E21" s="37" t="s">
        <v>76</v>
      </c>
      <c r="F21" s="37" t="s">
        <v>113</v>
      </c>
      <c r="G21" s="37" t="s">
        <v>150</v>
      </c>
      <c r="H21" s="37" t="s">
        <v>180</v>
      </c>
      <c r="I21" s="37" t="s">
        <v>227</v>
      </c>
      <c r="J21" s="37" t="s">
        <v>212</v>
      </c>
      <c r="K21" s="37">
        <v>2</v>
      </c>
      <c r="L21" s="37">
        <f>K21*5</f>
        <v>10</v>
      </c>
      <c r="M21" s="37"/>
      <c r="N21" s="47"/>
    </row>
    <row r="22" spans="1:14" x14ac:dyDescent="0.25">
      <c r="A22" s="1"/>
      <c r="B22" s="40">
        <f t="shared" si="0"/>
        <v>13</v>
      </c>
      <c r="C22" s="48" t="s">
        <v>7</v>
      </c>
      <c r="D22" s="42" t="s">
        <v>30</v>
      </c>
      <c r="E22" s="42" t="s">
        <v>77</v>
      </c>
      <c r="F22" s="42" t="s">
        <v>113</v>
      </c>
      <c r="G22" s="42" t="s">
        <v>151</v>
      </c>
      <c r="H22" s="42" t="s">
        <v>180</v>
      </c>
      <c r="I22" s="42" t="s">
        <v>227</v>
      </c>
      <c r="J22" s="42" t="s">
        <v>213</v>
      </c>
      <c r="K22" s="42">
        <v>1</v>
      </c>
      <c r="L22" s="42">
        <f t="shared" ref="L22" si="7">K22*5</f>
        <v>5</v>
      </c>
      <c r="M22" s="42"/>
      <c r="N22" s="47"/>
    </row>
    <row r="23" spans="1:14" ht="24" x14ac:dyDescent="0.25">
      <c r="A23" s="1"/>
      <c r="B23" s="39">
        <f>ROW(B23) - ROW($B$9)</f>
        <v>14</v>
      </c>
      <c r="C23" s="48" t="s">
        <v>8</v>
      </c>
      <c r="D23" s="42" t="s">
        <v>31</v>
      </c>
      <c r="E23" s="42" t="s">
        <v>78</v>
      </c>
      <c r="F23" s="42" t="s">
        <v>117</v>
      </c>
      <c r="G23" s="42" t="s">
        <v>152</v>
      </c>
      <c r="H23" s="42" t="s">
        <v>184</v>
      </c>
      <c r="I23" s="42" t="s">
        <v>227</v>
      </c>
      <c r="J23" s="42" t="s">
        <v>227</v>
      </c>
      <c r="K23" s="42">
        <v>1</v>
      </c>
      <c r="L23" s="37">
        <f>K23*5</f>
        <v>5</v>
      </c>
      <c r="M23" s="37"/>
      <c r="N23" s="47"/>
    </row>
    <row r="24" spans="1:14" ht="24" x14ac:dyDescent="0.25">
      <c r="A24" s="1"/>
      <c r="B24" s="40">
        <f t="shared" si="0"/>
        <v>15</v>
      </c>
      <c r="C24" s="48" t="s">
        <v>8</v>
      </c>
      <c r="D24" s="37" t="s">
        <v>32</v>
      </c>
      <c r="E24" s="37" t="s">
        <v>79</v>
      </c>
      <c r="F24" s="37" t="s">
        <v>118</v>
      </c>
      <c r="G24" s="37" t="s">
        <v>153</v>
      </c>
      <c r="H24" s="37" t="s">
        <v>185</v>
      </c>
      <c r="I24" s="37" t="s">
        <v>227</v>
      </c>
      <c r="J24" s="37" t="s">
        <v>227</v>
      </c>
      <c r="K24" s="37">
        <v>1</v>
      </c>
      <c r="L24" s="42">
        <f t="shared" ref="L24" si="8">K24*5</f>
        <v>5</v>
      </c>
      <c r="M24" s="42"/>
      <c r="N24" s="47"/>
    </row>
    <row r="25" spans="1:14" ht="24" x14ac:dyDescent="0.25">
      <c r="A25" s="1"/>
      <c r="B25" s="39">
        <f>ROW(B25) - ROW($B$9)</f>
        <v>16</v>
      </c>
      <c r="C25" s="48" t="s">
        <v>8</v>
      </c>
      <c r="D25" s="42" t="s">
        <v>243</v>
      </c>
      <c r="E25" s="42" t="s">
        <v>244</v>
      </c>
      <c r="F25" s="42" t="s">
        <v>245</v>
      </c>
      <c r="G25" s="42" t="s">
        <v>246</v>
      </c>
      <c r="H25" s="42" t="s">
        <v>185</v>
      </c>
      <c r="I25" s="42" t="s">
        <v>227</v>
      </c>
      <c r="J25" s="42" t="s">
        <v>227</v>
      </c>
      <c r="K25" s="42">
        <v>1</v>
      </c>
      <c r="L25" s="37">
        <f>K25*5</f>
        <v>5</v>
      </c>
      <c r="M25" s="37"/>
      <c r="N25" s="47"/>
    </row>
    <row r="26" spans="1:14" x14ac:dyDescent="0.25">
      <c r="A26" s="1"/>
      <c r="B26" s="40">
        <f t="shared" si="0"/>
        <v>17</v>
      </c>
      <c r="C26" s="48" t="s">
        <v>9</v>
      </c>
      <c r="D26" s="37" t="s">
        <v>33</v>
      </c>
      <c r="E26" s="37" t="s">
        <v>80</v>
      </c>
      <c r="F26" s="37" t="s">
        <v>119</v>
      </c>
      <c r="G26" s="37" t="s">
        <v>154</v>
      </c>
      <c r="H26" s="37" t="s">
        <v>183</v>
      </c>
      <c r="I26" s="37" t="s">
        <v>227</v>
      </c>
      <c r="J26" s="42" t="s">
        <v>227</v>
      </c>
      <c r="K26" s="37">
        <v>2</v>
      </c>
      <c r="L26" s="42">
        <f t="shared" ref="L26" si="9">K26*5</f>
        <v>10</v>
      </c>
      <c r="M26" s="42"/>
      <c r="N26" s="47"/>
    </row>
    <row r="27" spans="1:14" x14ac:dyDescent="0.25">
      <c r="A27" s="1"/>
      <c r="B27" s="39">
        <f>ROW(B27) - ROW($B$9)</f>
        <v>18</v>
      </c>
      <c r="C27" s="49" t="s">
        <v>10</v>
      </c>
      <c r="D27" s="42" t="s">
        <v>34</v>
      </c>
      <c r="E27" s="42" t="s">
        <v>81</v>
      </c>
      <c r="F27" s="42" t="s">
        <v>119</v>
      </c>
      <c r="G27" s="42" t="s">
        <v>155</v>
      </c>
      <c r="H27" s="42" t="s">
        <v>183</v>
      </c>
      <c r="I27" s="42" t="s">
        <v>227</v>
      </c>
      <c r="J27" s="42" t="s">
        <v>227</v>
      </c>
      <c r="K27" s="42">
        <v>1</v>
      </c>
      <c r="L27" s="37">
        <f>K27*5</f>
        <v>5</v>
      </c>
      <c r="M27" s="37"/>
      <c r="N27" s="47"/>
    </row>
    <row r="28" spans="1:14" x14ac:dyDescent="0.25">
      <c r="A28" s="1"/>
      <c r="B28" s="40">
        <f t="shared" si="0"/>
        <v>19</v>
      </c>
      <c r="C28" s="49" t="s">
        <v>247</v>
      </c>
      <c r="D28" s="37" t="s">
        <v>35</v>
      </c>
      <c r="E28" s="37" t="s">
        <v>248</v>
      </c>
      <c r="F28" s="37" t="s">
        <v>228</v>
      </c>
      <c r="G28" s="37" t="s">
        <v>249</v>
      </c>
      <c r="H28" s="37"/>
      <c r="I28" s="37"/>
      <c r="J28" s="37" t="s">
        <v>227</v>
      </c>
      <c r="K28" s="37">
        <v>1</v>
      </c>
      <c r="L28" s="42">
        <f t="shared" ref="L28" si="10">K28*5</f>
        <v>5</v>
      </c>
      <c r="M28" s="42"/>
      <c r="N28" s="47"/>
    </row>
    <row r="29" spans="1:14" ht="48" x14ac:dyDescent="0.25">
      <c r="A29" s="1"/>
      <c r="B29" s="39">
        <f>ROW(B29) - ROW($B$9)</f>
        <v>20</v>
      </c>
      <c r="C29" s="49" t="s">
        <v>11</v>
      </c>
      <c r="D29" s="42" t="s">
        <v>250</v>
      </c>
      <c r="E29" s="42" t="s">
        <v>251</v>
      </c>
      <c r="F29" s="42" t="s">
        <v>228</v>
      </c>
      <c r="G29" s="42" t="s">
        <v>252</v>
      </c>
      <c r="H29" s="42" t="s">
        <v>253</v>
      </c>
      <c r="I29" s="42" t="s">
        <v>227</v>
      </c>
      <c r="J29" s="42" t="s">
        <v>227</v>
      </c>
      <c r="K29" s="42">
        <v>3</v>
      </c>
      <c r="L29" s="37">
        <f>K29*5</f>
        <v>15</v>
      </c>
      <c r="M29" s="37"/>
      <c r="N29" s="47"/>
    </row>
    <row r="30" spans="1:14" x14ac:dyDescent="0.25">
      <c r="A30" s="1"/>
      <c r="B30" s="40">
        <f t="shared" si="0"/>
        <v>21</v>
      </c>
      <c r="C30" s="48" t="s">
        <v>12</v>
      </c>
      <c r="D30" s="37" t="s">
        <v>36</v>
      </c>
      <c r="E30" s="37" t="s">
        <v>82</v>
      </c>
      <c r="F30" s="37" t="s">
        <v>228</v>
      </c>
      <c r="G30" s="37" t="s">
        <v>120</v>
      </c>
      <c r="H30" s="37" t="s">
        <v>186</v>
      </c>
      <c r="I30" s="37" t="s">
        <v>227</v>
      </c>
      <c r="J30" s="42" t="s">
        <v>227</v>
      </c>
      <c r="K30" s="37">
        <v>1</v>
      </c>
      <c r="L30" s="42">
        <f t="shared" ref="L30" si="11">K30*5</f>
        <v>5</v>
      </c>
      <c r="M30" s="42"/>
      <c r="N30" s="47"/>
    </row>
    <row r="31" spans="1:14" x14ac:dyDescent="0.25">
      <c r="A31" s="1"/>
      <c r="B31" s="39">
        <f>ROW(B31) - ROW($B$9)</f>
        <v>22</v>
      </c>
      <c r="C31" s="49" t="s">
        <v>264</v>
      </c>
      <c r="D31" s="42" t="s">
        <v>37</v>
      </c>
      <c r="E31" s="42" t="s">
        <v>83</v>
      </c>
      <c r="F31" s="42" t="s">
        <v>228</v>
      </c>
      <c r="G31" s="42" t="s">
        <v>121</v>
      </c>
      <c r="H31" s="42" t="s">
        <v>186</v>
      </c>
      <c r="I31" s="42" t="s">
        <v>227</v>
      </c>
      <c r="J31" s="42" t="s">
        <v>227</v>
      </c>
      <c r="K31" s="42">
        <v>1</v>
      </c>
      <c r="L31" s="37">
        <f>K31*5</f>
        <v>5</v>
      </c>
      <c r="M31" s="37"/>
      <c r="N31" s="47"/>
    </row>
    <row r="32" spans="1:14" ht="48" x14ac:dyDescent="0.25">
      <c r="A32" s="1"/>
      <c r="B32" s="40">
        <f t="shared" si="0"/>
        <v>23</v>
      </c>
      <c r="C32" s="48" t="s">
        <v>254</v>
      </c>
      <c r="D32" s="37" t="s">
        <v>255</v>
      </c>
      <c r="E32" s="37" t="s">
        <v>256</v>
      </c>
      <c r="F32" s="37" t="s">
        <v>228</v>
      </c>
      <c r="G32" s="37" t="s">
        <v>257</v>
      </c>
      <c r="H32" s="37" t="s">
        <v>253</v>
      </c>
      <c r="I32" s="37" t="s">
        <v>227</v>
      </c>
      <c r="J32" s="37" t="s">
        <v>227</v>
      </c>
      <c r="K32" s="37">
        <v>1</v>
      </c>
      <c r="L32" s="42">
        <f t="shared" ref="L32" si="12">K32*5</f>
        <v>5</v>
      </c>
      <c r="M32" s="42"/>
      <c r="N32" s="47"/>
    </row>
    <row r="33" spans="1:14" x14ac:dyDescent="0.25">
      <c r="A33" s="1"/>
      <c r="B33" s="39">
        <f>ROW(B33) - ROW($B$9)</f>
        <v>24</v>
      </c>
      <c r="C33" s="49" t="s">
        <v>10</v>
      </c>
      <c r="D33" s="42" t="s">
        <v>38</v>
      </c>
      <c r="E33" s="42" t="s">
        <v>84</v>
      </c>
      <c r="F33" s="37" t="s">
        <v>228</v>
      </c>
      <c r="G33" s="42" t="s">
        <v>122</v>
      </c>
      <c r="H33" s="42" t="s">
        <v>187</v>
      </c>
      <c r="I33" s="42" t="s">
        <v>227</v>
      </c>
      <c r="J33" s="42" t="s">
        <v>227</v>
      </c>
      <c r="K33" s="42">
        <v>1</v>
      </c>
      <c r="L33" s="37">
        <f>K33*5</f>
        <v>5</v>
      </c>
      <c r="M33" s="37"/>
      <c r="N33" s="47"/>
    </row>
    <row r="34" spans="1:14" ht="24" x14ac:dyDescent="0.25">
      <c r="A34" s="1"/>
      <c r="B34" s="40">
        <f t="shared" si="0"/>
        <v>25</v>
      </c>
      <c r="C34" s="48" t="s">
        <v>13</v>
      </c>
      <c r="D34" s="50" t="s">
        <v>39</v>
      </c>
      <c r="E34" s="50" t="s">
        <v>85</v>
      </c>
      <c r="F34" s="50" t="s">
        <v>228</v>
      </c>
      <c r="G34" s="50" t="s">
        <v>229</v>
      </c>
      <c r="H34" s="51" t="s">
        <v>227</v>
      </c>
      <c r="I34" s="52" t="s">
        <v>227</v>
      </c>
      <c r="J34" s="52" t="s">
        <v>227</v>
      </c>
      <c r="K34" s="50">
        <v>13</v>
      </c>
      <c r="L34" s="52">
        <f t="shared" ref="L34" si="13">K34*5</f>
        <v>65</v>
      </c>
      <c r="M34" s="42"/>
      <c r="N34" s="47"/>
    </row>
    <row r="35" spans="1:14" ht="36" x14ac:dyDescent="0.25">
      <c r="A35" s="1"/>
      <c r="B35" s="39">
        <f>ROW(B35) - ROW($B$9)</f>
        <v>26</v>
      </c>
      <c r="C35" s="49" t="s">
        <v>14</v>
      </c>
      <c r="D35" s="42" t="s">
        <v>40</v>
      </c>
      <c r="E35" s="42" t="s">
        <v>86</v>
      </c>
      <c r="F35" s="42" t="s">
        <v>123</v>
      </c>
      <c r="G35" s="42" t="s">
        <v>156</v>
      </c>
      <c r="H35" s="42" t="s">
        <v>188</v>
      </c>
      <c r="I35" s="42" t="s">
        <v>227</v>
      </c>
      <c r="J35" s="42" t="s">
        <v>227</v>
      </c>
      <c r="K35" s="42">
        <v>1</v>
      </c>
      <c r="L35" s="37">
        <f>K35*5</f>
        <v>5</v>
      </c>
      <c r="M35" s="50"/>
      <c r="N35" s="53"/>
    </row>
    <row r="36" spans="1:14" x14ac:dyDescent="0.25">
      <c r="A36" s="1"/>
      <c r="B36" s="40">
        <f t="shared" si="0"/>
        <v>27</v>
      </c>
      <c r="C36" s="49" t="s">
        <v>14</v>
      </c>
      <c r="D36" s="37" t="s">
        <v>41</v>
      </c>
      <c r="E36" s="37" t="s">
        <v>87</v>
      </c>
      <c r="F36" s="37" t="s">
        <v>123</v>
      </c>
      <c r="G36" s="37" t="s">
        <v>157</v>
      </c>
      <c r="H36" s="37" t="s">
        <v>189</v>
      </c>
      <c r="I36" s="37" t="s">
        <v>227</v>
      </c>
      <c r="J36" s="42" t="s">
        <v>227</v>
      </c>
      <c r="K36" s="37">
        <v>1</v>
      </c>
      <c r="L36" s="42">
        <f t="shared" ref="L36" si="14">K36*5</f>
        <v>5</v>
      </c>
      <c r="M36" s="42"/>
      <c r="N36" s="47"/>
    </row>
    <row r="37" spans="1:14" ht="24" x14ac:dyDescent="0.25">
      <c r="A37" s="1"/>
      <c r="B37" s="39">
        <f>ROW(B37) - ROW($B$9)</f>
        <v>28</v>
      </c>
      <c r="C37" s="48" t="s">
        <v>15</v>
      </c>
      <c r="D37" s="42" t="s">
        <v>268</v>
      </c>
      <c r="E37" s="42" t="s">
        <v>88</v>
      </c>
      <c r="F37" s="42" t="s">
        <v>124</v>
      </c>
      <c r="G37" s="42" t="s">
        <v>158</v>
      </c>
      <c r="H37" s="42" t="s">
        <v>180</v>
      </c>
      <c r="I37" s="42" t="s">
        <v>227</v>
      </c>
      <c r="J37" s="42" t="s">
        <v>214</v>
      </c>
      <c r="K37" s="42">
        <v>11</v>
      </c>
      <c r="L37" s="37">
        <f>K37*5</f>
        <v>55</v>
      </c>
      <c r="M37" s="66" t="s">
        <v>241</v>
      </c>
      <c r="N37" s="47"/>
    </row>
    <row r="38" spans="1:14" x14ac:dyDescent="0.25">
      <c r="A38" s="1"/>
      <c r="B38" s="40">
        <f t="shared" si="0"/>
        <v>29</v>
      </c>
      <c r="C38" s="48" t="s">
        <v>15</v>
      </c>
      <c r="D38" s="42" t="s">
        <v>42</v>
      </c>
      <c r="E38" s="42" t="s">
        <v>89</v>
      </c>
      <c r="F38" s="42" t="s">
        <v>124</v>
      </c>
      <c r="G38" s="42" t="s">
        <v>159</v>
      </c>
      <c r="H38" s="42" t="s">
        <v>180</v>
      </c>
      <c r="I38" s="42" t="s">
        <v>227</v>
      </c>
      <c r="J38" s="42" t="s">
        <v>215</v>
      </c>
      <c r="K38" s="42">
        <v>3</v>
      </c>
      <c r="L38" s="42">
        <f t="shared" ref="L38" si="15">K38*5</f>
        <v>15</v>
      </c>
      <c r="M38" s="66"/>
      <c r="N38" s="47"/>
    </row>
    <row r="39" spans="1:14" x14ac:dyDescent="0.25">
      <c r="A39" s="1"/>
      <c r="B39" s="39">
        <f>ROW(B39) - ROW($B$9)</f>
        <v>30</v>
      </c>
      <c r="C39" s="48" t="s">
        <v>15</v>
      </c>
      <c r="D39" s="37" t="s">
        <v>43</v>
      </c>
      <c r="E39" s="42" t="s">
        <v>265</v>
      </c>
      <c r="F39" s="42" t="s">
        <v>124</v>
      </c>
      <c r="G39" s="42" t="s">
        <v>266</v>
      </c>
      <c r="H39" s="42" t="s">
        <v>180</v>
      </c>
      <c r="I39" s="42" t="s">
        <v>227</v>
      </c>
      <c r="J39" s="42" t="s">
        <v>267</v>
      </c>
      <c r="K39" s="42">
        <v>1</v>
      </c>
      <c r="L39" s="37">
        <f>K39*5</f>
        <v>5</v>
      </c>
      <c r="M39" s="37"/>
      <c r="N39" s="47"/>
    </row>
    <row r="40" spans="1:14" x14ac:dyDescent="0.25">
      <c r="A40" s="1"/>
      <c r="B40" s="40">
        <f t="shared" si="0"/>
        <v>31</v>
      </c>
      <c r="C40" s="48" t="s">
        <v>15</v>
      </c>
      <c r="D40" s="37" t="s">
        <v>44</v>
      </c>
      <c r="E40" s="37" t="s">
        <v>90</v>
      </c>
      <c r="F40" s="37" t="s">
        <v>124</v>
      </c>
      <c r="G40" s="37" t="s">
        <v>160</v>
      </c>
      <c r="H40" s="37" t="s">
        <v>180</v>
      </c>
      <c r="I40" s="37" t="s">
        <v>227</v>
      </c>
      <c r="J40" s="37" t="s">
        <v>216</v>
      </c>
      <c r="K40" s="37">
        <v>2</v>
      </c>
      <c r="L40" s="42">
        <f t="shared" ref="L40" si="16">K40*5</f>
        <v>10</v>
      </c>
      <c r="M40" s="42"/>
      <c r="N40" s="47"/>
    </row>
    <row r="41" spans="1:14" ht="24" x14ac:dyDescent="0.25">
      <c r="A41" s="1"/>
      <c r="B41" s="39">
        <f>ROW(B41) - ROW($B$9)</f>
        <v>32</v>
      </c>
      <c r="C41" s="48" t="s">
        <v>15</v>
      </c>
      <c r="D41" s="42" t="s">
        <v>45</v>
      </c>
      <c r="E41" s="42" t="s">
        <v>240</v>
      </c>
      <c r="F41" s="42" t="s">
        <v>239</v>
      </c>
      <c r="G41" s="42" t="s">
        <v>277</v>
      </c>
      <c r="H41" s="42" t="s">
        <v>180</v>
      </c>
      <c r="I41" s="42" t="s">
        <v>227</v>
      </c>
      <c r="J41" s="42" t="s">
        <v>217</v>
      </c>
      <c r="K41" s="42">
        <v>1</v>
      </c>
      <c r="L41" s="37">
        <f>K41*5</f>
        <v>5</v>
      </c>
      <c r="M41" s="37"/>
      <c r="N41" s="47"/>
    </row>
    <row r="42" spans="1:14" x14ac:dyDescent="0.25">
      <c r="A42" s="1"/>
      <c r="B42" s="39">
        <f>ROW(B42) - ROW($B$9)</f>
        <v>33</v>
      </c>
      <c r="C42" s="48" t="s">
        <v>15</v>
      </c>
      <c r="D42" s="37" t="s">
        <v>46</v>
      </c>
      <c r="E42" s="37" t="s">
        <v>91</v>
      </c>
      <c r="F42" s="37" t="s">
        <v>124</v>
      </c>
      <c r="G42" s="37" t="s">
        <v>161</v>
      </c>
      <c r="H42" s="37" t="s">
        <v>180</v>
      </c>
      <c r="I42" s="37" t="s">
        <v>227</v>
      </c>
      <c r="J42" s="37" t="s">
        <v>218</v>
      </c>
      <c r="K42" s="37">
        <v>5</v>
      </c>
      <c r="L42" s="37">
        <f>K42*5</f>
        <v>25</v>
      </c>
      <c r="M42" s="37"/>
      <c r="N42" s="47"/>
    </row>
    <row r="43" spans="1:14" x14ac:dyDescent="0.25">
      <c r="A43" s="1"/>
      <c r="B43" s="40">
        <f t="shared" si="0"/>
        <v>34</v>
      </c>
      <c r="C43" s="48" t="s">
        <v>15</v>
      </c>
      <c r="D43" s="42" t="s">
        <v>47</v>
      </c>
      <c r="E43" s="42" t="s">
        <v>92</v>
      </c>
      <c r="F43" s="42" t="s">
        <v>124</v>
      </c>
      <c r="G43" s="42" t="s">
        <v>162</v>
      </c>
      <c r="H43" s="42" t="s">
        <v>180</v>
      </c>
      <c r="I43" s="42" t="s">
        <v>227</v>
      </c>
      <c r="J43" s="42" t="s">
        <v>219</v>
      </c>
      <c r="K43" s="42">
        <v>2</v>
      </c>
      <c r="L43" s="42">
        <f t="shared" ref="L43" si="17">K43*5</f>
        <v>10</v>
      </c>
      <c r="M43" s="42"/>
      <c r="N43" s="47"/>
    </row>
    <row r="44" spans="1:14" x14ac:dyDescent="0.25">
      <c r="A44" s="1"/>
      <c r="B44" s="39">
        <f>ROW(B44) - ROW($B$9)</f>
        <v>35</v>
      </c>
      <c r="C44" s="48" t="s">
        <v>15</v>
      </c>
      <c r="D44" s="37" t="s">
        <v>48</v>
      </c>
      <c r="E44" s="37" t="s">
        <v>93</v>
      </c>
      <c r="F44" s="37" t="s">
        <v>124</v>
      </c>
      <c r="G44" s="37" t="s">
        <v>163</v>
      </c>
      <c r="H44" s="37" t="s">
        <v>180</v>
      </c>
      <c r="I44" s="37" t="s">
        <v>227</v>
      </c>
      <c r="J44" s="37" t="s">
        <v>220</v>
      </c>
      <c r="K44" s="37">
        <v>3</v>
      </c>
      <c r="L44" s="37">
        <f>K44*5</f>
        <v>15</v>
      </c>
      <c r="M44" s="37"/>
      <c r="N44" s="47"/>
    </row>
    <row r="45" spans="1:14" x14ac:dyDescent="0.25">
      <c r="A45" s="1"/>
      <c r="B45" s="40">
        <f t="shared" si="0"/>
        <v>36</v>
      </c>
      <c r="C45" s="48" t="s">
        <v>15</v>
      </c>
      <c r="D45" s="42" t="s">
        <v>49</v>
      </c>
      <c r="E45" s="42" t="s">
        <v>94</v>
      </c>
      <c r="F45" s="42" t="s">
        <v>124</v>
      </c>
      <c r="G45" s="42" t="s">
        <v>164</v>
      </c>
      <c r="H45" s="42" t="s">
        <v>180</v>
      </c>
      <c r="I45" s="42" t="s">
        <v>227</v>
      </c>
      <c r="J45" s="42" t="s">
        <v>221</v>
      </c>
      <c r="K45" s="42">
        <v>2</v>
      </c>
      <c r="L45" s="42">
        <f t="shared" ref="L45" si="18">K45*5</f>
        <v>10</v>
      </c>
      <c r="M45" s="42"/>
      <c r="N45" s="47"/>
    </row>
    <row r="46" spans="1:14" x14ac:dyDescent="0.25">
      <c r="A46" s="1"/>
      <c r="B46" s="39">
        <f>ROW(B46) - ROW($B$9)</f>
        <v>37</v>
      </c>
      <c r="C46" s="48" t="s">
        <v>15</v>
      </c>
      <c r="D46" s="37" t="s">
        <v>50</v>
      </c>
      <c r="E46" s="37" t="s">
        <v>95</v>
      </c>
      <c r="F46" s="37" t="s">
        <v>124</v>
      </c>
      <c r="G46" s="37" t="s">
        <v>165</v>
      </c>
      <c r="H46" s="37" t="s">
        <v>180</v>
      </c>
      <c r="I46" s="37" t="s">
        <v>227</v>
      </c>
      <c r="J46" s="37" t="s">
        <v>222</v>
      </c>
      <c r="K46" s="37">
        <v>2</v>
      </c>
      <c r="L46" s="37">
        <f>K46*5</f>
        <v>10</v>
      </c>
      <c r="M46" s="37"/>
      <c r="N46" s="47"/>
    </row>
    <row r="47" spans="1:14" x14ac:dyDescent="0.25">
      <c r="A47" s="1"/>
      <c r="B47" s="40">
        <f t="shared" si="0"/>
        <v>38</v>
      </c>
      <c r="C47" s="48" t="s">
        <v>15</v>
      </c>
      <c r="D47" s="42" t="s">
        <v>51</v>
      </c>
      <c r="E47" s="42" t="s">
        <v>96</v>
      </c>
      <c r="F47" s="42" t="s">
        <v>124</v>
      </c>
      <c r="G47" s="42" t="s">
        <v>166</v>
      </c>
      <c r="H47" s="42" t="s">
        <v>180</v>
      </c>
      <c r="I47" s="42" t="s">
        <v>227</v>
      </c>
      <c r="J47" s="42" t="s">
        <v>223</v>
      </c>
      <c r="K47" s="42">
        <v>1</v>
      </c>
      <c r="L47" s="42">
        <f t="shared" ref="L47" si="19">K47*5</f>
        <v>5</v>
      </c>
      <c r="M47" s="42"/>
      <c r="N47" s="47"/>
    </row>
    <row r="48" spans="1:14" x14ac:dyDescent="0.25">
      <c r="A48" s="1"/>
      <c r="B48" s="39">
        <f>ROW(B48) - ROW($B$9)</f>
        <v>39</v>
      </c>
      <c r="C48" s="48" t="s">
        <v>15</v>
      </c>
      <c r="D48" s="37" t="s">
        <v>52</v>
      </c>
      <c r="E48" s="37" t="s">
        <v>97</v>
      </c>
      <c r="F48" s="37" t="s">
        <v>124</v>
      </c>
      <c r="G48" s="37" t="s">
        <v>167</v>
      </c>
      <c r="H48" s="37" t="s">
        <v>180</v>
      </c>
      <c r="I48" s="37" t="s">
        <v>227</v>
      </c>
      <c r="J48" s="37" t="s">
        <v>224</v>
      </c>
      <c r="K48" s="37">
        <v>1</v>
      </c>
      <c r="L48" s="37">
        <f>K48*5</f>
        <v>5</v>
      </c>
      <c r="M48" s="37"/>
      <c r="N48" s="47"/>
    </row>
    <row r="49" spans="1:14" x14ac:dyDescent="0.25">
      <c r="A49" s="1"/>
      <c r="B49" s="40">
        <f t="shared" si="0"/>
        <v>40</v>
      </c>
      <c r="C49" s="48" t="s">
        <v>125</v>
      </c>
      <c r="D49" s="50" t="s">
        <v>258</v>
      </c>
      <c r="E49" s="50" t="s">
        <v>98</v>
      </c>
      <c r="F49" s="50" t="s">
        <v>228</v>
      </c>
      <c r="G49" s="50" t="s">
        <v>125</v>
      </c>
      <c r="H49" s="51" t="s">
        <v>227</v>
      </c>
      <c r="I49" s="52" t="s">
        <v>227</v>
      </c>
      <c r="J49" s="50" t="s">
        <v>227</v>
      </c>
      <c r="K49" s="50">
        <v>6</v>
      </c>
      <c r="L49" s="50">
        <f t="shared" ref="L49" si="20">K49*5</f>
        <v>30</v>
      </c>
      <c r="M49" s="42"/>
      <c r="N49" s="47"/>
    </row>
    <row r="50" spans="1:14" x14ac:dyDescent="0.25">
      <c r="A50" s="1"/>
      <c r="B50" s="39">
        <f>ROW(B50) - ROW($B$9)</f>
        <v>41</v>
      </c>
      <c r="C50" s="49" t="s">
        <v>16</v>
      </c>
      <c r="D50" s="42" t="s">
        <v>259</v>
      </c>
      <c r="E50" s="42" t="s">
        <v>99</v>
      </c>
      <c r="F50" s="42" t="s">
        <v>228</v>
      </c>
      <c r="G50" s="42" t="s">
        <v>126</v>
      </c>
      <c r="H50" s="42" t="s">
        <v>190</v>
      </c>
      <c r="I50" s="42" t="s">
        <v>227</v>
      </c>
      <c r="J50" s="37" t="s">
        <v>227</v>
      </c>
      <c r="K50" s="42">
        <v>2</v>
      </c>
      <c r="L50" s="37">
        <f>K50*5</f>
        <v>10</v>
      </c>
      <c r="M50" s="37"/>
      <c r="N50" s="47"/>
    </row>
    <row r="51" spans="1:14" ht="36" x14ac:dyDescent="0.25">
      <c r="A51" s="1"/>
      <c r="B51" s="40">
        <f t="shared" si="0"/>
        <v>42</v>
      </c>
      <c r="C51" s="49" t="s">
        <v>16</v>
      </c>
      <c r="D51" s="37" t="s">
        <v>260</v>
      </c>
      <c r="E51" s="37" t="s">
        <v>261</v>
      </c>
      <c r="F51" s="37" t="s">
        <v>228</v>
      </c>
      <c r="G51" s="37" t="s">
        <v>262</v>
      </c>
      <c r="H51" s="37" t="s">
        <v>263</v>
      </c>
      <c r="I51" s="37" t="s">
        <v>227</v>
      </c>
      <c r="J51" s="37" t="s">
        <v>227</v>
      </c>
      <c r="K51" s="37">
        <v>1</v>
      </c>
      <c r="L51" s="42">
        <f t="shared" ref="L51" si="21">K51*5</f>
        <v>5</v>
      </c>
      <c r="M51" s="42"/>
      <c r="N51" s="47"/>
    </row>
    <row r="52" spans="1:14" ht="48" x14ac:dyDescent="0.25">
      <c r="A52" s="1"/>
      <c r="B52" s="39">
        <f>ROW(B52) - ROW($B$9)</f>
        <v>43</v>
      </c>
      <c r="C52" s="49" t="s">
        <v>16</v>
      </c>
      <c r="D52" s="42" t="s">
        <v>226</v>
      </c>
      <c r="E52" s="42" t="s">
        <v>105</v>
      </c>
      <c r="F52" s="42" t="s">
        <v>228</v>
      </c>
      <c r="G52" s="42" t="s">
        <v>132</v>
      </c>
      <c r="H52" s="42" t="s">
        <v>196</v>
      </c>
      <c r="I52" s="42" t="s">
        <v>227</v>
      </c>
      <c r="J52" s="37" t="s">
        <v>227</v>
      </c>
      <c r="K52" s="42">
        <v>1</v>
      </c>
      <c r="L52" s="37">
        <f>K52*5</f>
        <v>5</v>
      </c>
      <c r="M52" s="37"/>
      <c r="N52" s="47"/>
    </row>
    <row r="53" spans="1:14" ht="24" x14ac:dyDescent="0.25">
      <c r="A53" s="1"/>
      <c r="B53" s="40">
        <f t="shared" si="0"/>
        <v>44</v>
      </c>
      <c r="C53" s="48" t="s">
        <v>17</v>
      </c>
      <c r="D53" s="37" t="s">
        <v>53</v>
      </c>
      <c r="E53" s="37" t="s">
        <v>100</v>
      </c>
      <c r="F53" s="37" t="s">
        <v>127</v>
      </c>
      <c r="G53" s="37" t="s">
        <v>168</v>
      </c>
      <c r="H53" s="37" t="s">
        <v>191</v>
      </c>
      <c r="I53" s="37" t="s">
        <v>227</v>
      </c>
      <c r="J53" s="37" t="s">
        <v>227</v>
      </c>
      <c r="K53" s="37">
        <v>1</v>
      </c>
      <c r="L53" s="42">
        <f t="shared" ref="L53" si="22">K53*5</f>
        <v>5</v>
      </c>
      <c r="M53" s="42"/>
      <c r="N53" s="47"/>
    </row>
    <row r="54" spans="1:14" x14ac:dyDescent="0.25">
      <c r="A54" s="1"/>
      <c r="B54" s="39">
        <f>ROW(B54) - ROW($B$9)</f>
        <v>45</v>
      </c>
      <c r="C54" s="49" t="s">
        <v>17</v>
      </c>
      <c r="D54" s="42" t="s">
        <v>54</v>
      </c>
      <c r="E54" s="42" t="s">
        <v>101</v>
      </c>
      <c r="F54" s="42" t="s">
        <v>128</v>
      </c>
      <c r="G54" s="42" t="s">
        <v>169</v>
      </c>
      <c r="H54" s="42" t="s">
        <v>192</v>
      </c>
      <c r="I54" s="42" t="s">
        <v>227</v>
      </c>
      <c r="J54" s="37" t="s">
        <v>227</v>
      </c>
      <c r="K54" s="42">
        <v>1</v>
      </c>
      <c r="L54" s="37">
        <f>K54*5</f>
        <v>5</v>
      </c>
      <c r="M54" s="50"/>
      <c r="N54" s="53"/>
    </row>
    <row r="55" spans="1:14" x14ac:dyDescent="0.25">
      <c r="A55" s="1"/>
      <c r="B55" s="40">
        <f t="shared" si="0"/>
        <v>46</v>
      </c>
      <c r="C55" s="48" t="s">
        <v>14</v>
      </c>
      <c r="D55" s="37" t="s">
        <v>55</v>
      </c>
      <c r="E55" s="37" t="s">
        <v>102</v>
      </c>
      <c r="F55" s="37" t="s">
        <v>129</v>
      </c>
      <c r="G55" s="37" t="s">
        <v>170</v>
      </c>
      <c r="H55" s="37" t="s">
        <v>193</v>
      </c>
      <c r="I55" s="37" t="s">
        <v>227</v>
      </c>
      <c r="J55" s="37" t="s">
        <v>227</v>
      </c>
      <c r="K55" s="37">
        <v>1</v>
      </c>
      <c r="L55" s="42">
        <f t="shared" ref="L55" si="23">K55*5</f>
        <v>5</v>
      </c>
      <c r="M55" s="42"/>
      <c r="N55" s="47"/>
    </row>
    <row r="56" spans="1:14" ht="24" x14ac:dyDescent="0.25">
      <c r="A56" s="1"/>
      <c r="B56" s="40">
        <f>ROW(B56) - ROW($B$9)</f>
        <v>47</v>
      </c>
      <c r="C56" s="49" t="s">
        <v>17</v>
      </c>
      <c r="D56" s="42" t="s">
        <v>56</v>
      </c>
      <c r="E56" s="42" t="s">
        <v>103</v>
      </c>
      <c r="F56" s="42" t="s">
        <v>130</v>
      </c>
      <c r="G56" s="42" t="s">
        <v>171</v>
      </c>
      <c r="H56" s="42" t="s">
        <v>194</v>
      </c>
      <c r="I56" s="42" t="s">
        <v>227</v>
      </c>
      <c r="J56" s="37" t="s">
        <v>227</v>
      </c>
      <c r="K56" s="42">
        <v>1</v>
      </c>
      <c r="L56" s="42">
        <f t="shared" ref="L56" si="24">K56*5</f>
        <v>5</v>
      </c>
      <c r="M56" s="42"/>
      <c r="N56" s="47"/>
    </row>
    <row r="57" spans="1:14" ht="24" x14ac:dyDescent="0.25">
      <c r="A57" s="1"/>
      <c r="B57" s="39">
        <f>ROW(B57) - ROW($B$9)</f>
        <v>48</v>
      </c>
      <c r="C57" s="48" t="s">
        <v>17</v>
      </c>
      <c r="D57" s="37" t="s">
        <v>57</v>
      </c>
      <c r="E57" s="37" t="s">
        <v>104</v>
      </c>
      <c r="F57" s="37" t="s">
        <v>131</v>
      </c>
      <c r="G57" s="37" t="s">
        <v>172</v>
      </c>
      <c r="H57" s="37" t="s">
        <v>195</v>
      </c>
      <c r="I57" s="37" t="s">
        <v>227</v>
      </c>
      <c r="J57" s="37" t="s">
        <v>227</v>
      </c>
      <c r="K57" s="37">
        <v>1</v>
      </c>
      <c r="L57" s="37">
        <f>K57*5</f>
        <v>5</v>
      </c>
      <c r="M57" s="37"/>
      <c r="N57" s="47"/>
    </row>
    <row r="58" spans="1:14" x14ac:dyDescent="0.25">
      <c r="A58" s="1"/>
      <c r="B58" s="40">
        <f t="shared" si="0"/>
        <v>49</v>
      </c>
      <c r="C58" s="48" t="s">
        <v>18</v>
      </c>
      <c r="D58" s="37" t="s">
        <v>58</v>
      </c>
      <c r="E58" s="37" t="s">
        <v>106</v>
      </c>
      <c r="F58" s="37" t="s">
        <v>133</v>
      </c>
      <c r="G58" s="37" t="s">
        <v>173</v>
      </c>
      <c r="H58" s="37" t="s">
        <v>197</v>
      </c>
      <c r="I58" s="37" t="s">
        <v>227</v>
      </c>
      <c r="J58" s="37" t="s">
        <v>227</v>
      </c>
      <c r="K58" s="37">
        <v>1</v>
      </c>
      <c r="L58" s="42">
        <f t="shared" ref="L58" si="25">K58*5</f>
        <v>5</v>
      </c>
      <c r="M58" s="42"/>
      <c r="N58" s="47"/>
    </row>
    <row r="59" spans="1:14" ht="24" x14ac:dyDescent="0.25">
      <c r="A59" s="1"/>
      <c r="B59" s="39">
        <f>ROW(B59) - ROW($B$9)</f>
        <v>50</v>
      </c>
      <c r="C59" s="49" t="s">
        <v>17</v>
      </c>
      <c r="D59" s="42" t="s">
        <v>59</v>
      </c>
      <c r="E59" s="42" t="s">
        <v>107</v>
      </c>
      <c r="F59" s="42" t="s">
        <v>134</v>
      </c>
      <c r="G59" s="42" t="s">
        <v>174</v>
      </c>
      <c r="H59" s="42" t="s">
        <v>198</v>
      </c>
      <c r="I59" s="42" t="s">
        <v>227</v>
      </c>
      <c r="J59" s="37" t="s">
        <v>227</v>
      </c>
      <c r="K59" s="42">
        <v>1</v>
      </c>
      <c r="L59" s="37">
        <f>K59*5</f>
        <v>5</v>
      </c>
      <c r="M59" s="37"/>
      <c r="N59" s="47"/>
    </row>
    <row r="60" spans="1:14" ht="24" x14ac:dyDescent="0.25">
      <c r="A60" s="1"/>
      <c r="B60" s="40">
        <f t="shared" si="0"/>
        <v>51</v>
      </c>
      <c r="C60" s="48" t="s">
        <v>17</v>
      </c>
      <c r="D60" s="37" t="s">
        <v>60</v>
      </c>
      <c r="E60" s="37" t="s">
        <v>108</v>
      </c>
      <c r="F60" s="37" t="s">
        <v>135</v>
      </c>
      <c r="G60" s="37" t="s">
        <v>175</v>
      </c>
      <c r="H60" s="37" t="s">
        <v>199</v>
      </c>
      <c r="I60" s="37" t="s">
        <v>227</v>
      </c>
      <c r="J60" s="37" t="s">
        <v>227</v>
      </c>
      <c r="K60" s="37">
        <v>1</v>
      </c>
      <c r="L60" s="42">
        <f t="shared" ref="L60" si="26">K60*5</f>
        <v>5</v>
      </c>
      <c r="M60" s="42"/>
      <c r="N60" s="47"/>
    </row>
    <row r="61" spans="1:14" x14ac:dyDescent="0.25">
      <c r="A61" s="1"/>
      <c r="B61" s="39">
        <f>ROW(B61) - ROW($B$9)</f>
        <v>52</v>
      </c>
      <c r="C61" s="49" t="s">
        <v>17</v>
      </c>
      <c r="D61" s="42" t="s">
        <v>61</v>
      </c>
      <c r="E61" s="42" t="s">
        <v>109</v>
      </c>
      <c r="F61" s="42" t="s">
        <v>136</v>
      </c>
      <c r="G61" s="42" t="s">
        <v>176</v>
      </c>
      <c r="H61" s="42" t="s">
        <v>200</v>
      </c>
      <c r="I61" s="42" t="s">
        <v>227</v>
      </c>
      <c r="J61" s="37" t="s">
        <v>227</v>
      </c>
      <c r="K61" s="42">
        <v>1</v>
      </c>
      <c r="L61" s="37">
        <f>K61*5</f>
        <v>5</v>
      </c>
      <c r="M61" s="37"/>
      <c r="N61" s="47"/>
    </row>
    <row r="62" spans="1:14" x14ac:dyDescent="0.25">
      <c r="A62" s="1"/>
      <c r="B62" s="39">
        <f>ROW(B62) - ROW($B$9)</f>
        <v>53</v>
      </c>
      <c r="C62" s="48" t="s">
        <v>17</v>
      </c>
      <c r="D62" s="37" t="s">
        <v>62</v>
      </c>
      <c r="E62" s="37" t="s">
        <v>110</v>
      </c>
      <c r="F62" s="37" t="s">
        <v>137</v>
      </c>
      <c r="G62" s="37" t="s">
        <v>177</v>
      </c>
      <c r="H62" s="37" t="s">
        <v>194</v>
      </c>
      <c r="I62" s="37" t="s">
        <v>227</v>
      </c>
      <c r="J62" s="37" t="s">
        <v>227</v>
      </c>
      <c r="K62" s="37">
        <v>1</v>
      </c>
      <c r="L62" s="37">
        <f>K62*5</f>
        <v>5</v>
      </c>
      <c r="M62" s="37"/>
      <c r="N62" s="47"/>
    </row>
    <row r="63" spans="1:14" ht="24" x14ac:dyDescent="0.25">
      <c r="A63" s="1"/>
      <c r="B63" s="40">
        <f t="shared" si="0"/>
        <v>54</v>
      </c>
      <c r="C63" s="55" t="s">
        <v>17</v>
      </c>
      <c r="D63" s="47" t="s">
        <v>63</v>
      </c>
      <c r="E63" s="47" t="s">
        <v>111</v>
      </c>
      <c r="F63" s="47" t="s">
        <v>138</v>
      </c>
      <c r="G63" s="47" t="s">
        <v>178</v>
      </c>
      <c r="H63" s="47" t="s">
        <v>201</v>
      </c>
      <c r="I63" s="47" t="s">
        <v>227</v>
      </c>
      <c r="J63" s="56" t="s">
        <v>227</v>
      </c>
      <c r="K63" s="47">
        <v>1</v>
      </c>
      <c r="L63" s="47">
        <f t="shared" ref="L63:L67" si="27">K63*5</f>
        <v>5</v>
      </c>
      <c r="M63" s="47"/>
      <c r="N63" s="47"/>
    </row>
    <row r="64" spans="1:14" x14ac:dyDescent="0.25">
      <c r="A64" s="1"/>
      <c r="B64" s="40">
        <f t="shared" si="0"/>
        <v>55</v>
      </c>
      <c r="C64" s="55" t="s">
        <v>269</v>
      </c>
      <c r="D64" s="47" t="s">
        <v>227</v>
      </c>
      <c r="E64" s="47" t="s">
        <v>227</v>
      </c>
      <c r="F64" s="47" t="s">
        <v>227</v>
      </c>
      <c r="G64" s="47" t="s">
        <v>227</v>
      </c>
      <c r="H64" s="47" t="s">
        <v>227</v>
      </c>
      <c r="I64" s="47" t="s">
        <v>227</v>
      </c>
      <c r="J64" s="47" t="s">
        <v>227</v>
      </c>
      <c r="K64" s="47">
        <v>1</v>
      </c>
      <c r="L64" s="47">
        <f t="shared" si="27"/>
        <v>5</v>
      </c>
      <c r="M64" s="73"/>
      <c r="N64" s="73"/>
    </row>
    <row r="65" spans="1:14" x14ac:dyDescent="0.25">
      <c r="A65" s="1"/>
      <c r="B65" s="40">
        <f t="shared" si="0"/>
        <v>56</v>
      </c>
      <c r="C65" s="55" t="s">
        <v>270</v>
      </c>
      <c r="D65" s="47" t="s">
        <v>227</v>
      </c>
      <c r="E65" s="47" t="s">
        <v>227</v>
      </c>
      <c r="F65" s="47" t="s">
        <v>227</v>
      </c>
      <c r="G65" s="47" t="s">
        <v>227</v>
      </c>
      <c r="H65" s="47" t="s">
        <v>227</v>
      </c>
      <c r="I65" s="47" t="s">
        <v>227</v>
      </c>
      <c r="J65" s="47" t="s">
        <v>227</v>
      </c>
      <c r="K65" s="47">
        <v>1</v>
      </c>
      <c r="L65" s="47">
        <f t="shared" si="27"/>
        <v>5</v>
      </c>
      <c r="M65" s="37"/>
      <c r="N65" s="47"/>
    </row>
    <row r="66" spans="1:14" x14ac:dyDescent="0.25">
      <c r="A66" s="1"/>
      <c r="B66" s="40">
        <f t="shared" si="0"/>
        <v>57</v>
      </c>
      <c r="C66" s="55" t="s">
        <v>275</v>
      </c>
      <c r="D66" s="47" t="s">
        <v>227</v>
      </c>
      <c r="E66" s="47" t="s">
        <v>227</v>
      </c>
      <c r="F66" s="47" t="s">
        <v>227</v>
      </c>
      <c r="G66" s="47" t="s">
        <v>227</v>
      </c>
      <c r="H66" s="47" t="s">
        <v>227</v>
      </c>
      <c r="I66" s="47" t="s">
        <v>227</v>
      </c>
      <c r="J66" s="47" t="s">
        <v>227</v>
      </c>
      <c r="K66" s="47">
        <v>1</v>
      </c>
      <c r="L66" s="47">
        <f t="shared" si="27"/>
        <v>5</v>
      </c>
      <c r="M66" s="37"/>
      <c r="N66" s="47"/>
    </row>
    <row r="67" spans="1:14" ht="30.75" thickBot="1" x14ac:dyDescent="0.3">
      <c r="A67" s="1"/>
      <c r="B67" s="40">
        <f t="shared" si="0"/>
        <v>58</v>
      </c>
      <c r="C67" s="55" t="s">
        <v>271</v>
      </c>
      <c r="D67" s="47" t="s">
        <v>227</v>
      </c>
      <c r="E67" s="47" t="s">
        <v>272</v>
      </c>
      <c r="F67" s="47" t="s">
        <v>227</v>
      </c>
      <c r="G67" s="47" t="s">
        <v>273</v>
      </c>
      <c r="H67" s="47" t="s">
        <v>274</v>
      </c>
      <c r="I67" s="47" t="s">
        <v>227</v>
      </c>
      <c r="J67" s="47" t="s">
        <v>227</v>
      </c>
      <c r="K67" s="47">
        <v>1</v>
      </c>
      <c r="L67" s="47">
        <f t="shared" si="27"/>
        <v>5</v>
      </c>
      <c r="M67" s="37"/>
      <c r="N67" s="47"/>
    </row>
    <row r="68" spans="1:14" x14ac:dyDescent="0.25">
      <c r="A68" s="1"/>
      <c r="B68" s="57"/>
      <c r="C68" s="58"/>
      <c r="D68" s="59"/>
      <c r="E68" s="60"/>
      <c r="F68" s="61"/>
      <c r="G68" s="62"/>
      <c r="H68" s="61"/>
      <c r="I68" s="62"/>
      <c r="J68" s="62"/>
      <c r="K68" s="62"/>
      <c r="L68" s="62"/>
      <c r="M68" s="81"/>
      <c r="N68" s="82"/>
    </row>
    <row r="69" spans="1:14" ht="15.7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83"/>
      <c r="N69" s="84"/>
    </row>
  </sheetData>
  <mergeCells count="3">
    <mergeCell ref="J1:N1"/>
    <mergeCell ref="N3:N8"/>
    <mergeCell ref="M68:N6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2023-02-13T13:22:11Z</dcterms:modified>
</cp:coreProperties>
</file>