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yandelmee-olliealarm\BOM\"/>
    </mc:Choice>
  </mc:AlternateContent>
  <bookViews>
    <workbookView xWindow="28680" yWindow="-120" windowWidth="29040" windowHeight="15840"/>
  </bookViews>
  <sheets>
    <sheet name="1 Board" sheetId="2" r:id="rId1"/>
    <sheet name="5 Boards" sheetId="1" r:id="rId2"/>
  </sheets>
  <calcPr calcId="162913"/>
</workbook>
</file>

<file path=xl/calcChain.xml><?xml version="1.0" encoding="utf-8"?>
<calcChain xmlns="http://schemas.openxmlformats.org/spreadsheetml/2006/main">
  <c r="K11" i="1" l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10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</calcChain>
</file>

<file path=xl/sharedStrings.xml><?xml version="1.0" encoding="utf-8"?>
<sst xmlns="http://schemas.openxmlformats.org/spreadsheetml/2006/main" count="859" uniqueCount="277">
  <si>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</si>
  <si>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</si>
  <si>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</si>
  <si>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</si>
  <si>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</si>
  <si>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</si>
  <si>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</si>
  <si>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</si>
  <si>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</si>
  <si>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Ferrite Bead</t>
  </si>
  <si>
    <t>Inductor</t>
  </si>
  <si>
    <t>JST Connector</t>
  </si>
  <si>
    <t>SD Card Connector</t>
  </si>
  <si>
    <t>TEST POINT</t>
  </si>
  <si>
    <t>Mosfet</t>
  </si>
  <si>
    <t>Resistor</t>
  </si>
  <si>
    <t>Switch</t>
  </si>
  <si>
    <t>IC</t>
  </si>
  <si>
    <t>Module</t>
  </si>
  <si>
    <t>Designator</t>
  </si>
  <si>
    <t>C2, C13</t>
  </si>
  <si>
    <t>C3, C4, C6, C7, C8, C10, C12, C16, C32, C33, C34, C35, C53, C57</t>
  </si>
  <si>
    <t>C5</t>
  </si>
  <si>
    <t>C14, C52</t>
  </si>
  <si>
    <t>C18, C23</t>
  </si>
  <si>
    <t>C24, C30, C38, C44, C46, C48</t>
  </si>
  <si>
    <t>C27, C28, C29</t>
  </si>
  <si>
    <t>C36</t>
  </si>
  <si>
    <t>C50, C51</t>
  </si>
  <si>
    <t>C55, C56</t>
  </si>
  <si>
    <t>C58</t>
  </si>
  <si>
    <t>D2</t>
  </si>
  <si>
    <t>D3</t>
  </si>
  <si>
    <t>FB1, FB2</t>
  </si>
  <si>
    <t>FB3</t>
  </si>
  <si>
    <t>J1</t>
  </si>
  <si>
    <t>J3</t>
  </si>
  <si>
    <t>J4</t>
  </si>
  <si>
    <t>L1</t>
  </si>
  <si>
    <t>P1, P2, P3, P4, P5, P6, P7, P8, P9, P10, P11, P12, P13</t>
  </si>
  <si>
    <t>Q1</t>
  </si>
  <si>
    <t>Q2</t>
  </si>
  <si>
    <t>R4, R22, R23</t>
  </si>
  <si>
    <t>R5</t>
  </si>
  <si>
    <t>R11, R12</t>
  </si>
  <si>
    <t>R16</t>
  </si>
  <si>
    <t>R17, R18, R19, R20, R21</t>
  </si>
  <si>
    <t>R24, R30</t>
  </si>
  <si>
    <t>R25, R33, R36</t>
  </si>
  <si>
    <t>R26, R27</t>
  </si>
  <si>
    <t>R28, R29</t>
  </si>
  <si>
    <t>R34</t>
  </si>
  <si>
    <t>R35</t>
  </si>
  <si>
    <t>U1</t>
  </si>
  <si>
    <t>U2</t>
  </si>
  <si>
    <t>U3</t>
  </si>
  <si>
    <t>U4</t>
  </si>
  <si>
    <t>U5</t>
  </si>
  <si>
    <t>U7</t>
  </si>
  <si>
    <t>U8</t>
  </si>
  <si>
    <t>U9</t>
  </si>
  <si>
    <t>U10</t>
  </si>
  <si>
    <t>U11</t>
  </si>
  <si>
    <t>U12</t>
  </si>
  <si>
    <t>Description</t>
  </si>
  <si>
    <t>CAP CER 10000PF 50V C0G/NPO 0603</t>
  </si>
  <si>
    <t>CAP TANT 100UF 20% 25V 2917</t>
  </si>
  <si>
    <t>CAP CER 1UF 25V X5R 0603</t>
  </si>
  <si>
    <t>CAP CER 0.022UF 50V X7R 0603</t>
  </si>
  <si>
    <t>CAP CER 0.1UF 25V X5R 0402</t>
  </si>
  <si>
    <t>CAP CER 10UF 16V X5R 0603</t>
  </si>
  <si>
    <t>CAP CER 22UF 35V X5R 0805</t>
  </si>
  <si>
    <t>CAP CER 4.7UF 16V X5R 0603</t>
  </si>
  <si>
    <t>CAP CER 33PF 25V C0G/NP0 0402</t>
  </si>
  <si>
    <t>CAP CER 10UF 10V X5R 0603</t>
  </si>
  <si>
    <t>CAP CER 330PF 50V C0G/NPO 0603</t>
  </si>
  <si>
    <t>CAP CER 0.015UF 50V X7R 0603</t>
  </si>
  <si>
    <t>CAP CER 8.2nF 50V X7R 10% 0603</t>
  </si>
  <si>
    <t>16A 20V 7V 5V@Max Unidirectional SOT-23 TVS ROHS</t>
  </si>
  <si>
    <t>40V 550mV@2A 2A SOD-123FL Schottky Barrier Diodes (SBD) ROHS</t>
  </si>
  <si>
    <t>FERRITE BEAD 120 OHM 0603 1LN</t>
  </si>
  <si>
    <t>0603 180Ω ±25% DCR=0.09Ω 1.5A</t>
  </si>
  <si>
    <t>CONN MICRO SD CARD PUSH-PUSH R/A</t>
  </si>
  <si>
    <t>CONN FFC TOP 40POS 0.50MM R/A</t>
  </si>
  <si>
    <t>FIXED IND 2.2UH 2A 158 MOHM SMD</t>
  </si>
  <si>
    <t>Test Point ON</t>
  </si>
  <si>
    <t>30V 4.1A 60mΩ@10V,4.1A 350mW 3V@250uA P Channel SOT-23 MOSFETs ROHS</t>
  </si>
  <si>
    <t>TRANS NPN 40V 0.6A SMD SOT23-3</t>
  </si>
  <si>
    <t>RES SMD 10K Ohm 1% 1/10W 0603</t>
  </si>
  <si>
    <t>RES 0 OHM JUMPER 1/10W 0603</t>
  </si>
  <si>
    <t>RES SMD 4.7K OHM 5% 1/10W 0603</t>
  </si>
  <si>
    <t>RES 22 OHM 1% 1/10W 0603</t>
  </si>
  <si>
    <t>RES SMD 10 OHM 1% 1/10W 0603</t>
  </si>
  <si>
    <t>RES SMD 1K OHM 1% 1/10W 0603</t>
  </si>
  <si>
    <t>RES 2.2K OHM 1% 1/10W 0603</t>
  </si>
  <si>
    <t>RES 22.1K OHM 1% 1/10W 0603</t>
  </si>
  <si>
    <t>RES SMD 100K OHM 0.1% 1/10W 0603</t>
  </si>
  <si>
    <t>RES 270K OHM 0.5% 1/10W 0603</t>
  </si>
  <si>
    <t>Solder Bridge ON</t>
  </si>
  <si>
    <t>Power Supply Support Circuit, Fixed, 1 Channel, +3.1V, CMOS, PDSO5</t>
  </si>
  <si>
    <t>IC REG LDO 3.3V 0.3A SOT23-5</t>
  </si>
  <si>
    <t>ESOP-8 Battery Management ICs ROHS</t>
  </si>
  <si>
    <t>OR Controller N+1 ORing Controller N-Channel 2:1 SOT-583</t>
  </si>
  <si>
    <t>TSOT-23-5 Linear Voltage Regulators (LDO) ROHS</t>
  </si>
  <si>
    <t>Straight 1A SPDT 8.7mm 8.6mm 24V 4.5mm Black PCPin 10000 Rectangular columnar -25℃~+70℃ Plugin Slide Switches ROHS</t>
  </si>
  <si>
    <t>SMD MODULE, ESP32-S3R8 WITH 3.3V</t>
  </si>
  <si>
    <t>SOT-23-6 AC-DC Controllers &amp; Regulators ROHS</t>
  </si>
  <si>
    <t>QFN-28-EP(4x4) ADC/DAC - Specialized ROHS</t>
  </si>
  <si>
    <t>SOP-8 Audio Power OpAmps ROHS</t>
  </si>
  <si>
    <t>IC ADC 12BIT SIGMA-DELTA 10VSSOP</t>
  </si>
  <si>
    <t>4 400kHz I²C, SMBus SOIC-8 I/O Expanders ROHS</t>
  </si>
  <si>
    <t>Footprint</t>
  </si>
  <si>
    <t>Cap-0603</t>
  </si>
  <si>
    <t>Case-E</t>
  </si>
  <si>
    <t>Cap-0402</t>
  </si>
  <si>
    <t>Cap-0805</t>
  </si>
  <si>
    <t>Sot-23</t>
  </si>
  <si>
    <t>SOD-123FL</t>
  </si>
  <si>
    <t>IND-0603 (1608 Metric)</t>
  </si>
  <si>
    <t>DM3BT-DSF-PEJS</t>
  </si>
  <si>
    <t>FH12A-40S-0.5SH(55)</t>
  </si>
  <si>
    <t>IHHP0806AZER2R2M01</t>
  </si>
  <si>
    <t>SOT-23</t>
  </si>
  <si>
    <t>Res-0603</t>
  </si>
  <si>
    <t>Solder Bridge</t>
  </si>
  <si>
    <t>SSOP-5-1.6mm</t>
  </si>
  <si>
    <t>SOT-23-5</t>
  </si>
  <si>
    <t>ESOP-8</t>
  </si>
  <si>
    <t>SOT-583</t>
  </si>
  <si>
    <t>TSOT-23-5</t>
  </si>
  <si>
    <t>SS-12D02-G040</t>
  </si>
  <si>
    <t>41-SMD Module</t>
  </si>
  <si>
    <t>SOT-23-6</t>
  </si>
  <si>
    <t>QFN-28-EP(4x4)</t>
  </si>
  <si>
    <t>SOP-8</t>
  </si>
  <si>
    <t>VSSOP-10</t>
  </si>
  <si>
    <t>SOIC-8</t>
  </si>
  <si>
    <t>Manufacturer Part Number</t>
  </si>
  <si>
    <t>CC0603JRNPO9BN103</t>
  </si>
  <si>
    <t>TAJE107M025RNJ</t>
  </si>
  <si>
    <t>CC0603KRX5R8BB105</t>
  </si>
  <si>
    <t>CC0603KRX7R9BB223</t>
  </si>
  <si>
    <t>CC0402KRX5R8BB104</t>
  </si>
  <si>
    <t>C2012X5R1V226MT000E</t>
  </si>
  <si>
    <t>CC0603KRX5R7BB475</t>
  </si>
  <si>
    <t>CC0603KRX5R6BB106</t>
  </si>
  <si>
    <t>CC0603JRNPO9BN331</t>
  </si>
  <si>
    <t>CC0603JRX7R9BB153</t>
  </si>
  <si>
    <t>CC0603KRX7R9BB822</t>
  </si>
  <si>
    <t>ESD5302F-3/TR</t>
  </si>
  <si>
    <t>DSK24 K24</t>
  </si>
  <si>
    <t>BLM18SG121TN1D</t>
  </si>
  <si>
    <t>BLM18PG181SN1D</t>
  </si>
  <si>
    <t>AO3407</t>
  </si>
  <si>
    <t>MMBT2222A-7-F</t>
  </si>
  <si>
    <t>RC0603FR-0710KL</t>
  </si>
  <si>
    <t>RC0603JR-070RL</t>
  </si>
  <si>
    <t>RC0603JR-074K7L</t>
  </si>
  <si>
    <t>RC0603FR-0722RL</t>
  </si>
  <si>
    <t>RC0603FR-0710RL</t>
  </si>
  <si>
    <t>RC0603FR-071KL</t>
  </si>
  <si>
    <t>RC0603FR-072K2L</t>
  </si>
  <si>
    <t>RC0603FR-0722K1L</t>
  </si>
  <si>
    <t>RT0603BRD07100KL</t>
  </si>
  <si>
    <t>RC0603DR-07270KL</t>
  </si>
  <si>
    <t>BU4231G-TR</t>
  </si>
  <si>
    <t>RT9193-33GB</t>
  </si>
  <si>
    <t>TP4056-42-ESOP8</t>
  </si>
  <si>
    <t>LM66200DRLR</t>
  </si>
  <si>
    <t>RT9080-33GJ5</t>
  </si>
  <si>
    <t>ESP32-S3-WROOM-1-N16R8</t>
  </si>
  <si>
    <t>LP3320B6F</t>
  </si>
  <si>
    <t>ES8388</t>
  </si>
  <si>
    <t>MIX2052</t>
  </si>
  <si>
    <t>ADS1015IDGSR</t>
  </si>
  <si>
    <t>PCA9536D</t>
  </si>
  <si>
    <t>Manufacturer</t>
  </si>
  <si>
    <t>Yageo</t>
  </si>
  <si>
    <t>Kyocera AVX</t>
  </si>
  <si>
    <t>TDK Corporation</t>
  </si>
  <si>
    <t>Murata</t>
  </si>
  <si>
    <t>WILLSEMI</t>
  </si>
  <si>
    <t>MDD</t>
  </si>
  <si>
    <t>Hirose</t>
  </si>
  <si>
    <t>Vishay Dale</t>
  </si>
  <si>
    <t>Guangdong Hottech</t>
  </si>
  <si>
    <t>Diodes</t>
  </si>
  <si>
    <t>Rohm</t>
  </si>
  <si>
    <t>Richtek</t>
  </si>
  <si>
    <t>TOPPOWER</t>
  </si>
  <si>
    <t>Texas Instruments</t>
  </si>
  <si>
    <t>Richtek Tech</t>
  </si>
  <si>
    <t>G-Switch</t>
  </si>
  <si>
    <t>Espressif Systems</t>
  </si>
  <si>
    <t>LOWPOWER</t>
  </si>
  <si>
    <t>Everest-semi</t>
  </si>
  <si>
    <t>MIXINNO</t>
  </si>
  <si>
    <t>NXP Semicon</t>
  </si>
  <si>
    <t>10nF</t>
  </si>
  <si>
    <t>100uF</t>
  </si>
  <si>
    <t>1uF</t>
  </si>
  <si>
    <t>22nF</t>
  </si>
  <si>
    <t>100nF</t>
  </si>
  <si>
    <t>10uF</t>
  </si>
  <si>
    <t>22uF</t>
  </si>
  <si>
    <t>4.7uF</t>
  </si>
  <si>
    <t>33pF</t>
  </si>
  <si>
    <t>330pF</t>
  </si>
  <si>
    <t>15nF</t>
  </si>
  <si>
    <t>8.2nF</t>
  </si>
  <si>
    <t>10K</t>
  </si>
  <si>
    <t>0R</t>
  </si>
  <si>
    <t>4.7K</t>
  </si>
  <si>
    <t>5.6R</t>
  </si>
  <si>
    <t>22R</t>
  </si>
  <si>
    <t>10R</t>
  </si>
  <si>
    <t>1K</t>
  </si>
  <si>
    <t>2.2K</t>
  </si>
  <si>
    <t>22.1K</t>
  </si>
  <si>
    <t>100K</t>
  </si>
  <si>
    <t>270K</t>
  </si>
  <si>
    <t>Quantity</t>
  </si>
  <si>
    <t>SW6</t>
  </si>
  <si>
    <t>-</t>
  </si>
  <si>
    <t>Custom</t>
  </si>
  <si>
    <t>Test Point</t>
  </si>
  <si>
    <t>Value</t>
  </si>
  <si>
    <t>Quantity (5 Boards)</t>
  </si>
  <si>
    <t>Remarks</t>
  </si>
  <si>
    <t>Reviewer Remarks</t>
  </si>
  <si>
    <t>Bill of Materials for Project [Alarm-Clock-v1.0]</t>
  </si>
  <si>
    <t>Alarm-Clock-v1.0</t>
  </si>
  <si>
    <t>C1, C41, C43</t>
  </si>
  <si>
    <t>RES-1206</t>
  </si>
  <si>
    <t>General Purpose Chip Resistor Thick Film 1206 5.6Ohm 1% Paper T/R</t>
  </si>
  <si>
    <t xml:space="preserve">R9 = DNP that’s why not added in BOM </t>
  </si>
  <si>
    <t>C9, C11, C15, C17, C19, C20, C21, C22, C25, C26, C31, C37, C39, C40, C42, C45, C47, C49, C54, C59, C60, C61</t>
  </si>
  <si>
    <t>D4</t>
  </si>
  <si>
    <t>20V 500mV@3A 3A SMA(DO-214AC) Schottky Barrier Diodes (SBD) ROHS</t>
  </si>
  <si>
    <t>SMA</t>
  </si>
  <si>
    <t>SS32</t>
  </si>
  <si>
    <t>Pogo Connector</t>
  </si>
  <si>
    <t>Pogo Pad 2.5mm 4 Pin</t>
  </si>
  <si>
    <t>POGO Connector 4 Pin</t>
  </si>
  <si>
    <t>J2, J5, J6</t>
  </si>
  <si>
    <t>1x2P 1 1.25mm Male pin 2 -40℃~+85℃ Surface Mount SMD,P=1.25mm Wire To Board / Wire To Wire Connector ROHS</t>
  </si>
  <si>
    <t>1.25-2PWB</t>
  </si>
  <si>
    <t>DEALON</t>
  </si>
  <si>
    <t>JST Right Angle</t>
  </si>
  <si>
    <t>J7</t>
  </si>
  <si>
    <t>1x5P 1 1.25mm Male pin 5 -25℃~+85℃ Surface Mount SMD,P=1.25mm Wire To Board / Wire To Wire Connector ROHS</t>
  </si>
  <si>
    <t>1.25-5PWB</t>
  </si>
  <si>
    <t>SB1, SB2, SB3, SB4, SB5,SB6</t>
  </si>
  <si>
    <t>SW1, SW2</t>
  </si>
  <si>
    <t>SW3</t>
  </si>
  <si>
    <t>SPST Black Flat dial, raised type 2.54mm 1 SMD,2.5x6mm DIP Switches ROHS</t>
  </si>
  <si>
    <t>DSIC01LSGET</t>
  </si>
  <si>
    <t>DongGuan</t>
  </si>
  <si>
    <t>FFC Connector</t>
  </si>
  <si>
    <t>RES 1.5K OHM 1% 1/10W 0603</t>
  </si>
  <si>
    <t>RC0603FR-071K5L</t>
  </si>
  <si>
    <t>1.5K</t>
  </si>
  <si>
    <t>R1, R2, R6, R7, R8, R10, R13, R14, R15, R31, R32</t>
  </si>
  <si>
    <t>LCD</t>
  </si>
  <si>
    <t>Battery</t>
  </si>
  <si>
    <t>Terminal Block Cable</t>
  </si>
  <si>
    <t>Dupont Cable/Terminal Block Cable/Electronic Cable ROHS</t>
  </si>
  <si>
    <t>LDR100-157128-150-5P</t>
  </si>
  <si>
    <t xml:space="preserve">DEALON </t>
  </si>
  <si>
    <t>Speaker</t>
  </si>
  <si>
    <t>This part provide by client.</t>
  </si>
  <si>
    <t>WF12P5R60FTL</t>
  </si>
  <si>
    <t>CL10A106MO8NQNC</t>
  </si>
  <si>
    <t>DNP</t>
  </si>
  <si>
    <t>Solder Bridge 0402</t>
  </si>
  <si>
    <t>No NO 50mA 4.5mm 100000 260gf 12V -30℃~+85℃ 4.5mm 4.3mm Black Round Button Brick nogging SPST SMD Tactile Switches ROHS</t>
  </si>
  <si>
    <t>TS-1109S-C-B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</si>
</sst>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h:mm:ss\ AM/PM;@"/>
    <numFmt numFmtId="165" formatCode="&quot;$&quot;#,##0.00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2" xfId="0" applyFont="1" applyFill="1" applyBorder="1" applyAlignment="1">
      <alignment vertical="center"/>
    </xf>
    <xf numFmtId="0" fontId="7" fillId="3" borderId="11" xfId="0" applyFont="1" applyFill="1" applyBorder="1" applyAlignment="1">
      <alignment vertical="center"/>
    </xf>
    <xf numFmtId="0" fontId="8" fillId="3" borderId="0" xfId="0" applyFont="1" applyFill="1"/>
    <xf numFmtId="0" fontId="9" fillId="3" borderId="4" xfId="0" applyFont="1" applyFill="1" applyBorder="1"/>
    <xf numFmtId="0" fontId="9" fillId="3" borderId="5" xfId="0" applyFont="1" applyFill="1" applyBorder="1"/>
    <xf numFmtId="0" fontId="10" fillId="3" borderId="0" xfId="0" applyFont="1" applyFill="1"/>
    <xf numFmtId="0" fontId="14" fillId="3" borderId="10" xfId="0" applyFont="1" applyFill="1" applyBorder="1" applyAlignment="1">
      <alignment vertical="center"/>
    </xf>
    <xf numFmtId="0" fontId="15" fillId="3" borderId="11" xfId="0" applyFont="1" applyFill="1" applyBorder="1" applyAlignment="1">
      <alignment vertical="center"/>
    </xf>
    <xf numFmtId="0" fontId="11" fillId="3" borderId="0" xfId="0" applyFont="1" applyFill="1"/>
    <xf numFmtId="0" fontId="13" fillId="3" borderId="5" xfId="0" applyFont="1" applyFill="1" applyBorder="1"/>
    <xf numFmtId="0" fontId="13" fillId="3" borderId="4" xfId="0" applyFont="1" applyFill="1" applyBorder="1"/>
    <xf numFmtId="0" fontId="11" fillId="3" borderId="4" xfId="0" applyFont="1" applyFill="1" applyBorder="1"/>
    <xf numFmtId="0" fontId="13" fillId="3" borderId="4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6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3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8" fillId="2" borderId="14" xfId="0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0" fontId="11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5" fillId="3" borderId="11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4" xfId="0" quotePrefix="1" applyFont="1" applyFill="1" applyBorder="1" applyAlignment="1">
      <alignment horizontal="left"/>
    </xf>
    <xf numFmtId="0" fontId="18" fillId="2" borderId="17" xfId="0" applyFont="1" applyFill="1" applyBorder="1" applyAlignment="1">
      <alignment horizontal="center" vertical="center" wrapText="1"/>
    </xf>
    <xf numFmtId="0" fontId="20" fillId="2" borderId="14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1" fillId="2" borderId="14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4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1" fillId="3" borderId="16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8" fillId="2" borderId="1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12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165" fontId="18" fillId="2" borderId="20" xfId="0" applyNumberFormat="1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center" vertical="center" wrapText="1"/>
    </xf>
    <xf numFmtId="0" fontId="22" fillId="2" borderId="20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5" xfId="0" applyFont="1" applyFill="1" applyBorder="1" applyAlignment="1">
      <alignment horizontal="center" vertical="center"/>
    </xf>
    <xf numFmtId="0" fontId="20" fillId="2" borderId="14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8" fillId="2" borderId="20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165" fontId="18" fillId="2" borderId="3" xfId="0" applyNumberFormat="1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9525</xdr:colOff>
      <xdr:row>2</xdr:row>
      <xdr:rowOff>10417</xdr:rowOff>
    </xdr:from>
    <xdr:to>
      <xdr:col>11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2499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9525</xdr:colOff>
      <xdr:row>2</xdr:row>
      <xdr:rowOff>10417</xdr:rowOff>
    </xdr:from>
    <xdr:to>
      <xdr:col>12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4109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1"/>
  <sheetViews>
    <sheetView tabSelected="1" workbookViewId="0">
      <selection activeCell="E14" sqref="E14"/>
    </sheetView>
  </sheetViews>
  <sheetFormatPr defaultRowHeight="15" x14ac:dyDescent="0.25"/>
  <cols>
    <col min="2" max="2" width="3" bestFit="1" customWidth="1"/>
    <col min="3" max="3" width="19.7109375" bestFit="1" customWidth="1"/>
    <col min="4" max="4" width="31.140625" bestFit="1" customWidth="1"/>
    <col min="5" max="5" width="29.42578125" customWidth="1"/>
    <col min="6" max="6" width="15" customWidth="1"/>
    <col min="7" max="7" width="25.28515625" bestFit="1" customWidth="1"/>
    <col min="8" max="8" width="14.85546875" customWidth="1"/>
    <col min="9" max="9" width="6.140625" bestFit="1" customWidth="1"/>
    <col min="10" max="10" width="8.7109375" bestFit="1" customWidth="1"/>
    <col min="11" max="11" width="8.5703125" bestFit="1" customWidth="1"/>
    <col min="12" max="12" width="26" customWidth="1"/>
  </cols>
  <sheetData>
    <row r="1" spans="1:12" ht="15.75" thickBot="1" x14ac:dyDescent="0.3">
      <c r="A1" s="1"/>
      <c r="B1" s="18"/>
      <c r="C1" s="18"/>
      <c r="D1" s="2"/>
      <c r="E1" s="2"/>
      <c r="F1" s="2"/>
      <c r="G1" s="2"/>
      <c r="H1" s="2"/>
      <c r="I1" s="60"/>
      <c r="J1" s="60"/>
      <c r="K1" s="60"/>
      <c r="L1" s="61"/>
    </row>
    <row r="2" spans="1:12" ht="32.25" thickBot="1" x14ac:dyDescent="0.3">
      <c r="A2" s="1"/>
      <c r="B2" s="19"/>
      <c r="C2" s="28"/>
      <c r="D2" s="9" t="s">
        <v>0</v>
      </c>
      <c r="E2" s="9"/>
      <c r="F2" s="37" t="s">
        <v>230</v>
      </c>
      <c r="G2" s="10"/>
      <c r="H2" s="4"/>
      <c r="I2" s="4"/>
      <c r="J2" s="4"/>
      <c r="K2" s="4"/>
      <c r="L2" s="3"/>
    </row>
    <row r="3" spans="1:12" x14ac:dyDescent="0.25">
      <c r="A3" s="1"/>
      <c r="B3" s="20"/>
      <c r="C3" s="29"/>
      <c r="D3" s="11" t="s">
        <v>1</v>
      </c>
      <c r="E3" s="11"/>
      <c r="F3" s="38" t="s">
        <v>231</v>
      </c>
      <c r="G3" s="11"/>
      <c r="H3" s="5"/>
      <c r="I3" s="5"/>
      <c r="J3" s="5"/>
      <c r="K3" s="5"/>
      <c r="L3" s="62"/>
    </row>
    <row r="4" spans="1:12" x14ac:dyDescent="0.25">
      <c r="A4" s="1"/>
      <c r="B4" s="20"/>
      <c r="C4" s="29"/>
      <c r="D4" s="11" t="s">
        <v>2</v>
      </c>
      <c r="E4" s="11"/>
      <c r="F4" s="38" t="s">
        <v>231</v>
      </c>
      <c r="G4" s="12"/>
      <c r="H4" s="7"/>
      <c r="I4" s="7"/>
      <c r="J4" s="6"/>
      <c r="K4" s="6"/>
      <c r="L4" s="63"/>
    </row>
    <row r="5" spans="1:12" x14ac:dyDescent="0.25">
      <c r="A5" s="1"/>
      <c r="B5" s="20"/>
      <c r="C5" s="29"/>
      <c r="D5" s="11" t="s">
        <v>3</v>
      </c>
      <c r="E5" s="11"/>
      <c r="F5" s="39" t="s">
        <v>5</v>
      </c>
      <c r="G5" s="13"/>
      <c r="H5" s="6"/>
      <c r="I5" s="6"/>
      <c r="J5" s="6"/>
      <c r="K5" s="6"/>
      <c r="L5" s="63"/>
    </row>
    <row r="6" spans="1:12" x14ac:dyDescent="0.25">
      <c r="A6" s="1"/>
      <c r="B6" s="21"/>
      <c r="C6" s="30"/>
      <c r="D6" s="14"/>
      <c r="E6" s="14"/>
      <c r="F6" s="15"/>
      <c r="G6" s="13"/>
      <c r="H6" s="6"/>
      <c r="I6" s="6"/>
      <c r="J6" s="6"/>
      <c r="K6" s="6"/>
      <c r="L6" s="63"/>
    </row>
    <row r="7" spans="1:12" x14ac:dyDescent="0.25">
      <c r="A7" s="1"/>
      <c r="B7" s="22"/>
      <c r="C7" s="31"/>
      <c r="D7" s="16"/>
      <c r="E7" s="16"/>
      <c r="F7" s="17"/>
      <c r="G7" s="16"/>
      <c r="H7" s="8"/>
      <c r="I7" s="8"/>
      <c r="J7" s="8"/>
      <c r="K7" s="8"/>
      <c r="L7" s="63"/>
    </row>
    <row r="8" spans="1:12" ht="15.75" thickBot="1" x14ac:dyDescent="0.3">
      <c r="A8" s="1"/>
      <c r="B8" s="24"/>
      <c r="C8" s="32"/>
      <c r="D8" s="25"/>
      <c r="E8" s="25"/>
      <c r="F8" s="26"/>
      <c r="G8" s="16"/>
      <c r="H8" s="8"/>
      <c r="I8" s="8"/>
      <c r="J8" s="8"/>
      <c r="K8" s="8"/>
      <c r="L8" s="63"/>
    </row>
    <row r="9" spans="1:12" ht="15.75" thickBot="1" x14ac:dyDescent="0.3">
      <c r="A9" s="1"/>
      <c r="B9" s="27" t="s">
        <v>4</v>
      </c>
      <c r="C9" s="27" t="s">
        <v>6</v>
      </c>
      <c r="D9" s="27" t="s">
        <v>19</v>
      </c>
      <c r="E9" s="27" t="s">
        <v>64</v>
      </c>
      <c r="F9" s="27" t="s">
        <v>111</v>
      </c>
      <c r="G9" s="27" t="s">
        <v>137</v>
      </c>
      <c r="H9" s="27" t="s">
        <v>176</v>
      </c>
      <c r="I9" s="27" t="s">
        <v>226</v>
      </c>
      <c r="J9" s="27" t="s">
        <v>221</v>
      </c>
      <c r="K9" s="66" t="s">
        <v>228</v>
      </c>
      <c r="L9" s="27" t="s">
        <v>229</v>
      </c>
    </row>
    <row r="10" spans="1:12" s="52" customFormat="1" x14ac:dyDescent="0.25">
      <c r="A10" s="50"/>
      <c r="B10" s="34">
        <f>ROW(B10) - ROW($B$9)</f>
        <v>1</v>
      </c>
      <c r="C10" s="41" t="s">
        <v>7</v>
      </c>
      <c r="D10" s="33" t="s">
        <v>232</v>
      </c>
      <c r="E10" s="33" t="s">
        <v>65</v>
      </c>
      <c r="F10" s="33" t="s">
        <v>112</v>
      </c>
      <c r="G10" s="33" t="s">
        <v>138</v>
      </c>
      <c r="H10" s="33" t="s">
        <v>177</v>
      </c>
      <c r="I10" s="33" t="s">
        <v>198</v>
      </c>
      <c r="J10" s="33">
        <v>3</v>
      </c>
      <c r="K10" s="67"/>
      <c r="L10" s="51"/>
    </row>
    <row r="11" spans="1:12" s="52" customFormat="1" x14ac:dyDescent="0.25">
      <c r="A11" s="50"/>
      <c r="B11" s="35">
        <f t="shared" ref="B11:B67" si="0">ROW(B11) - ROW($B$9)</f>
        <v>2</v>
      </c>
      <c r="C11" s="41" t="s">
        <v>7</v>
      </c>
      <c r="D11" s="36" t="s">
        <v>20</v>
      </c>
      <c r="E11" s="36" t="s">
        <v>66</v>
      </c>
      <c r="F11" s="36" t="s">
        <v>113</v>
      </c>
      <c r="G11" s="36" t="s">
        <v>139</v>
      </c>
      <c r="H11" s="36" t="s">
        <v>178</v>
      </c>
      <c r="I11" s="36" t="s">
        <v>199</v>
      </c>
      <c r="J11" s="36">
        <v>2</v>
      </c>
      <c r="K11" s="68"/>
      <c r="L11" s="36"/>
    </row>
    <row r="12" spans="1:12" s="52" customFormat="1" ht="24" x14ac:dyDescent="0.25">
      <c r="A12" s="50"/>
      <c r="B12" s="34">
        <f>ROW(B12) - ROW($B$9)</f>
        <v>3</v>
      </c>
      <c r="C12" s="41" t="s">
        <v>7</v>
      </c>
      <c r="D12" s="33" t="s">
        <v>21</v>
      </c>
      <c r="E12" s="33" t="s">
        <v>67</v>
      </c>
      <c r="F12" s="33" t="s">
        <v>112</v>
      </c>
      <c r="G12" s="33" t="s">
        <v>140</v>
      </c>
      <c r="H12" s="33" t="s">
        <v>177</v>
      </c>
      <c r="I12" s="33" t="s">
        <v>200</v>
      </c>
      <c r="J12" s="33">
        <v>14</v>
      </c>
      <c r="K12" s="67"/>
      <c r="L12" s="40"/>
    </row>
    <row r="13" spans="1:12" s="52" customFormat="1" x14ac:dyDescent="0.25">
      <c r="A13" s="50"/>
      <c r="B13" s="35">
        <f t="shared" si="0"/>
        <v>4</v>
      </c>
      <c r="C13" s="41" t="s">
        <v>7</v>
      </c>
      <c r="D13" s="36" t="s">
        <v>22</v>
      </c>
      <c r="E13" s="36" t="s">
        <v>68</v>
      </c>
      <c r="F13" s="36" t="s">
        <v>112</v>
      </c>
      <c r="G13" s="36" t="s">
        <v>141</v>
      </c>
      <c r="H13" s="36" t="s">
        <v>177</v>
      </c>
      <c r="I13" s="36" t="s">
        <v>201</v>
      </c>
      <c r="J13" s="36">
        <v>1</v>
      </c>
      <c r="K13" s="68"/>
      <c r="L13" s="40"/>
    </row>
    <row r="14" spans="1:12" s="52" customFormat="1" ht="36" x14ac:dyDescent="0.25">
      <c r="A14" s="50"/>
      <c r="B14" s="34">
        <f>ROW(B14) - ROW($B$9)</f>
        <v>5</v>
      </c>
      <c r="C14" s="41" t="s">
        <v>7</v>
      </c>
      <c r="D14" s="33" t="s">
        <v>236</v>
      </c>
      <c r="E14" s="33" t="s">
        <v>69</v>
      </c>
      <c r="F14" s="33" t="s">
        <v>114</v>
      </c>
      <c r="G14" s="33" t="s">
        <v>142</v>
      </c>
      <c r="H14" s="33" t="s">
        <v>177</v>
      </c>
      <c r="I14" s="33" t="s">
        <v>202</v>
      </c>
      <c r="J14" s="33">
        <v>22</v>
      </c>
      <c r="K14" s="67"/>
      <c r="L14" s="40"/>
    </row>
    <row r="15" spans="1:12" s="52" customFormat="1" x14ac:dyDescent="0.25">
      <c r="A15" s="50"/>
      <c r="B15" s="35">
        <f t="shared" si="0"/>
        <v>6</v>
      </c>
      <c r="C15" s="41" t="s">
        <v>7</v>
      </c>
      <c r="D15" s="36" t="s">
        <v>23</v>
      </c>
      <c r="E15" s="36" t="s">
        <v>70</v>
      </c>
      <c r="F15" s="36" t="s">
        <v>112</v>
      </c>
      <c r="G15" s="36" t="s">
        <v>272</v>
      </c>
      <c r="H15" s="36" t="s">
        <v>177</v>
      </c>
      <c r="I15" s="36" t="s">
        <v>203</v>
      </c>
      <c r="J15" s="36">
        <v>2</v>
      </c>
      <c r="K15" s="68"/>
      <c r="L15" s="40"/>
    </row>
    <row r="16" spans="1:12" s="52" customFormat="1" x14ac:dyDescent="0.25">
      <c r="A16" s="50"/>
      <c r="B16" s="34">
        <f>ROW(B16) - ROW($B$9)</f>
        <v>7</v>
      </c>
      <c r="C16" s="41" t="s">
        <v>7</v>
      </c>
      <c r="D16" s="33" t="s">
        <v>24</v>
      </c>
      <c r="E16" s="33" t="s">
        <v>71</v>
      </c>
      <c r="F16" s="33" t="s">
        <v>115</v>
      </c>
      <c r="G16" s="33" t="s">
        <v>143</v>
      </c>
      <c r="H16" s="33" t="s">
        <v>179</v>
      </c>
      <c r="I16" s="33" t="s">
        <v>204</v>
      </c>
      <c r="J16" s="33">
        <v>2</v>
      </c>
      <c r="K16" s="67"/>
      <c r="L16" s="40"/>
    </row>
    <row r="17" spans="1:12" s="52" customFormat="1" x14ac:dyDescent="0.25">
      <c r="A17" s="50"/>
      <c r="B17" s="35">
        <f t="shared" si="0"/>
        <v>8</v>
      </c>
      <c r="C17" s="41" t="s">
        <v>7</v>
      </c>
      <c r="D17" s="36" t="s">
        <v>25</v>
      </c>
      <c r="E17" s="36" t="s">
        <v>72</v>
      </c>
      <c r="F17" s="36" t="s">
        <v>112</v>
      </c>
      <c r="G17" s="36" t="s">
        <v>144</v>
      </c>
      <c r="H17" s="36" t="s">
        <v>177</v>
      </c>
      <c r="I17" s="36" t="s">
        <v>205</v>
      </c>
      <c r="J17" s="36">
        <v>6</v>
      </c>
      <c r="K17" s="68"/>
      <c r="L17" s="40"/>
    </row>
    <row r="18" spans="1:12" s="52" customFormat="1" x14ac:dyDescent="0.25">
      <c r="A18" s="50"/>
      <c r="B18" s="34">
        <f>ROW(B18) - ROW($B$9)</f>
        <v>9</v>
      </c>
      <c r="C18" s="41" t="s">
        <v>7</v>
      </c>
      <c r="D18" s="33" t="s">
        <v>26</v>
      </c>
      <c r="E18" s="33" t="s">
        <v>73</v>
      </c>
      <c r="F18" s="33" t="s">
        <v>114</v>
      </c>
      <c r="G18" s="36" t="s">
        <v>272</v>
      </c>
      <c r="H18" s="33" t="s">
        <v>180</v>
      </c>
      <c r="I18" s="33" t="s">
        <v>206</v>
      </c>
      <c r="J18" s="33">
        <v>3</v>
      </c>
      <c r="K18" s="67"/>
      <c r="L18" s="40"/>
    </row>
    <row r="19" spans="1:12" s="52" customFormat="1" x14ac:dyDescent="0.25">
      <c r="A19" s="50"/>
      <c r="B19" s="35">
        <f t="shared" si="0"/>
        <v>10</v>
      </c>
      <c r="C19" s="41" t="s">
        <v>7</v>
      </c>
      <c r="D19" s="36" t="s">
        <v>27</v>
      </c>
      <c r="E19" s="36" t="s">
        <v>74</v>
      </c>
      <c r="F19" s="36" t="s">
        <v>112</v>
      </c>
      <c r="G19" s="36" t="s">
        <v>145</v>
      </c>
      <c r="H19" s="36" t="s">
        <v>177</v>
      </c>
      <c r="I19" s="36" t="s">
        <v>203</v>
      </c>
      <c r="J19" s="36">
        <v>1</v>
      </c>
      <c r="K19" s="68"/>
      <c r="L19" s="40"/>
    </row>
    <row r="20" spans="1:12" s="52" customFormat="1" x14ac:dyDescent="0.25">
      <c r="A20" s="50"/>
      <c r="B20" s="35">
        <f t="shared" si="0"/>
        <v>11</v>
      </c>
      <c r="C20" s="41" t="s">
        <v>7</v>
      </c>
      <c r="D20" s="36" t="s">
        <v>28</v>
      </c>
      <c r="E20" s="36" t="s">
        <v>75</v>
      </c>
      <c r="F20" s="36" t="s">
        <v>112</v>
      </c>
      <c r="G20" s="36" t="s">
        <v>146</v>
      </c>
      <c r="H20" s="36" t="s">
        <v>177</v>
      </c>
      <c r="I20" s="36" t="s">
        <v>207</v>
      </c>
      <c r="J20" s="36">
        <v>2</v>
      </c>
      <c r="K20" s="68"/>
      <c r="L20" s="40"/>
    </row>
    <row r="21" spans="1:12" s="52" customFormat="1" x14ac:dyDescent="0.25">
      <c r="A21" s="50"/>
      <c r="B21" s="34">
        <f>ROW(B21) - ROW($B$9)</f>
        <v>12</v>
      </c>
      <c r="C21" s="41" t="s">
        <v>7</v>
      </c>
      <c r="D21" s="33" t="s">
        <v>29</v>
      </c>
      <c r="E21" s="33" t="s">
        <v>76</v>
      </c>
      <c r="F21" s="33" t="s">
        <v>112</v>
      </c>
      <c r="G21" s="33" t="s">
        <v>147</v>
      </c>
      <c r="H21" s="33" t="s">
        <v>177</v>
      </c>
      <c r="I21" s="33" t="s">
        <v>208</v>
      </c>
      <c r="J21" s="33">
        <v>2</v>
      </c>
      <c r="K21" s="67"/>
      <c r="L21" s="40"/>
    </row>
    <row r="22" spans="1:12" s="52" customFormat="1" x14ac:dyDescent="0.25">
      <c r="A22" s="50"/>
      <c r="B22" s="35">
        <f t="shared" si="0"/>
        <v>13</v>
      </c>
      <c r="C22" s="41" t="s">
        <v>7</v>
      </c>
      <c r="D22" s="36" t="s">
        <v>30</v>
      </c>
      <c r="E22" s="36" t="s">
        <v>77</v>
      </c>
      <c r="F22" s="36" t="s">
        <v>112</v>
      </c>
      <c r="G22" s="36" t="s">
        <v>148</v>
      </c>
      <c r="H22" s="36" t="s">
        <v>177</v>
      </c>
      <c r="I22" s="36" t="s">
        <v>209</v>
      </c>
      <c r="J22" s="36">
        <v>1</v>
      </c>
      <c r="K22" s="68"/>
      <c r="L22" s="40"/>
    </row>
    <row r="23" spans="1:12" s="52" customFormat="1" ht="24" x14ac:dyDescent="0.25">
      <c r="A23" s="50"/>
      <c r="B23" s="35">
        <f t="shared" si="0"/>
        <v>14</v>
      </c>
      <c r="C23" s="41" t="s">
        <v>8</v>
      </c>
      <c r="D23" s="36" t="s">
        <v>31</v>
      </c>
      <c r="E23" s="36" t="s">
        <v>78</v>
      </c>
      <c r="F23" s="36" t="s">
        <v>116</v>
      </c>
      <c r="G23" s="36" t="s">
        <v>149</v>
      </c>
      <c r="H23" s="36" t="s">
        <v>181</v>
      </c>
      <c r="I23" s="36" t="s">
        <v>223</v>
      </c>
      <c r="J23" s="36">
        <v>1</v>
      </c>
      <c r="K23" s="68"/>
      <c r="L23" s="40"/>
    </row>
    <row r="24" spans="1:12" s="52" customFormat="1" ht="24" x14ac:dyDescent="0.25">
      <c r="A24" s="50"/>
      <c r="B24" s="34">
        <f>ROW(B24) - ROW($B$9)</f>
        <v>15</v>
      </c>
      <c r="C24" s="41" t="s">
        <v>8</v>
      </c>
      <c r="D24" s="33" t="s">
        <v>32</v>
      </c>
      <c r="E24" s="33" t="s">
        <v>79</v>
      </c>
      <c r="F24" s="33" t="s">
        <v>117</v>
      </c>
      <c r="G24" s="33" t="s">
        <v>150</v>
      </c>
      <c r="H24" s="33" t="s">
        <v>182</v>
      </c>
      <c r="I24" s="33" t="s">
        <v>223</v>
      </c>
      <c r="J24" s="33">
        <v>1</v>
      </c>
      <c r="K24" s="67"/>
      <c r="L24" s="40"/>
    </row>
    <row r="25" spans="1:12" s="52" customFormat="1" ht="24" x14ac:dyDescent="0.25">
      <c r="A25" s="50"/>
      <c r="B25" s="35">
        <f t="shared" ref="B25" si="1">ROW(B25) - ROW($B$9)</f>
        <v>16</v>
      </c>
      <c r="C25" s="41" t="s">
        <v>8</v>
      </c>
      <c r="D25" s="36" t="s">
        <v>237</v>
      </c>
      <c r="E25" s="36" t="s">
        <v>238</v>
      </c>
      <c r="F25" s="36" t="s">
        <v>239</v>
      </c>
      <c r="G25" s="36" t="s">
        <v>240</v>
      </c>
      <c r="H25" s="36" t="s">
        <v>182</v>
      </c>
      <c r="I25" s="36" t="s">
        <v>223</v>
      </c>
      <c r="J25" s="36">
        <v>1</v>
      </c>
      <c r="K25" s="69"/>
      <c r="L25" s="36"/>
    </row>
    <row r="26" spans="1:12" s="52" customFormat="1" ht="24" x14ac:dyDescent="0.25">
      <c r="A26" s="50"/>
      <c r="B26" s="34">
        <f>ROW(B26) - ROW($B$9)</f>
        <v>17</v>
      </c>
      <c r="C26" s="41" t="s">
        <v>9</v>
      </c>
      <c r="D26" s="33" t="s">
        <v>33</v>
      </c>
      <c r="E26" s="33" t="s">
        <v>80</v>
      </c>
      <c r="F26" s="33" t="s">
        <v>118</v>
      </c>
      <c r="G26" s="33" t="s">
        <v>151</v>
      </c>
      <c r="H26" s="33" t="s">
        <v>180</v>
      </c>
      <c r="I26" s="36" t="s">
        <v>223</v>
      </c>
      <c r="J26" s="33">
        <v>2</v>
      </c>
      <c r="K26" s="67"/>
      <c r="L26" s="40"/>
    </row>
    <row r="27" spans="1:12" s="52" customFormat="1" ht="24" x14ac:dyDescent="0.25">
      <c r="A27" s="50"/>
      <c r="B27" s="35">
        <f t="shared" si="0"/>
        <v>18</v>
      </c>
      <c r="C27" s="42" t="s">
        <v>10</v>
      </c>
      <c r="D27" s="36" t="s">
        <v>34</v>
      </c>
      <c r="E27" s="36" t="s">
        <v>81</v>
      </c>
      <c r="F27" s="36" t="s">
        <v>118</v>
      </c>
      <c r="G27" s="36" t="s">
        <v>152</v>
      </c>
      <c r="H27" s="36" t="s">
        <v>180</v>
      </c>
      <c r="I27" s="36" t="s">
        <v>223</v>
      </c>
      <c r="J27" s="36">
        <v>1</v>
      </c>
      <c r="K27" s="68"/>
      <c r="L27" s="40"/>
    </row>
    <row r="28" spans="1:12" s="52" customFormat="1" x14ac:dyDescent="0.25">
      <c r="A28" s="50"/>
      <c r="B28" s="34">
        <f>ROW(B28) - ROW($B$9)</f>
        <v>19</v>
      </c>
      <c r="C28" s="42" t="s">
        <v>241</v>
      </c>
      <c r="D28" s="43" t="s">
        <v>35</v>
      </c>
      <c r="E28" s="43" t="s">
        <v>242</v>
      </c>
      <c r="F28" s="43" t="s">
        <v>224</v>
      </c>
      <c r="G28" s="43" t="s">
        <v>243</v>
      </c>
      <c r="H28" s="43" t="s">
        <v>223</v>
      </c>
      <c r="I28" s="43" t="s">
        <v>223</v>
      </c>
      <c r="J28" s="43">
        <v>1</v>
      </c>
      <c r="K28" s="70"/>
      <c r="L28" s="46"/>
    </row>
    <row r="29" spans="1:12" s="52" customFormat="1" ht="48" x14ac:dyDescent="0.25">
      <c r="A29" s="50"/>
      <c r="B29" s="35">
        <f t="shared" si="0"/>
        <v>20</v>
      </c>
      <c r="C29" s="42" t="s">
        <v>11</v>
      </c>
      <c r="D29" s="36" t="s">
        <v>244</v>
      </c>
      <c r="E29" s="36" t="s">
        <v>245</v>
      </c>
      <c r="F29" s="36" t="s">
        <v>224</v>
      </c>
      <c r="G29" s="36" t="s">
        <v>246</v>
      </c>
      <c r="H29" s="36" t="s">
        <v>247</v>
      </c>
      <c r="I29" s="36" t="s">
        <v>223</v>
      </c>
      <c r="J29" s="36">
        <v>3</v>
      </c>
      <c r="K29" s="68"/>
      <c r="L29" s="40"/>
    </row>
    <row r="30" spans="1:12" s="52" customFormat="1" ht="24" x14ac:dyDescent="0.25">
      <c r="A30" s="50"/>
      <c r="B30" s="34">
        <f>ROW(B30) - ROW($B$9)</f>
        <v>21</v>
      </c>
      <c r="C30" s="41" t="s">
        <v>12</v>
      </c>
      <c r="D30" s="33" t="s">
        <v>36</v>
      </c>
      <c r="E30" s="33" t="s">
        <v>82</v>
      </c>
      <c r="F30" s="33" t="s">
        <v>224</v>
      </c>
      <c r="G30" s="33" t="s">
        <v>119</v>
      </c>
      <c r="H30" s="33" t="s">
        <v>183</v>
      </c>
      <c r="I30" s="36" t="s">
        <v>223</v>
      </c>
      <c r="J30" s="33">
        <v>1</v>
      </c>
      <c r="K30" s="71" t="s">
        <v>273</v>
      </c>
      <c r="L30" s="40"/>
    </row>
    <row r="31" spans="1:12" s="52" customFormat="1" x14ac:dyDescent="0.25">
      <c r="A31" s="50"/>
      <c r="B31" s="35">
        <f t="shared" si="0"/>
        <v>22</v>
      </c>
      <c r="C31" s="42" t="s">
        <v>258</v>
      </c>
      <c r="D31" s="36" t="s">
        <v>37</v>
      </c>
      <c r="E31" s="36" t="s">
        <v>83</v>
      </c>
      <c r="F31" s="36" t="s">
        <v>224</v>
      </c>
      <c r="G31" s="36" t="s">
        <v>120</v>
      </c>
      <c r="H31" s="36" t="s">
        <v>183</v>
      </c>
      <c r="I31" s="36" t="s">
        <v>223</v>
      </c>
      <c r="J31" s="36">
        <v>1</v>
      </c>
      <c r="K31" s="68"/>
      <c r="L31" s="40"/>
    </row>
    <row r="32" spans="1:12" s="52" customFormat="1" ht="48" x14ac:dyDescent="0.25">
      <c r="A32" s="50"/>
      <c r="B32" s="34">
        <f>ROW(B32) - ROW($B$9)</f>
        <v>23</v>
      </c>
      <c r="C32" s="41" t="s">
        <v>248</v>
      </c>
      <c r="D32" s="33" t="s">
        <v>249</v>
      </c>
      <c r="E32" s="33" t="s">
        <v>250</v>
      </c>
      <c r="F32" s="33" t="s">
        <v>224</v>
      </c>
      <c r="G32" s="33" t="s">
        <v>251</v>
      </c>
      <c r="H32" s="33" t="s">
        <v>247</v>
      </c>
      <c r="I32" s="33" t="s">
        <v>223</v>
      </c>
      <c r="J32" s="33">
        <v>1</v>
      </c>
      <c r="K32" s="67"/>
      <c r="L32" s="40"/>
    </row>
    <row r="33" spans="1:12" s="52" customFormat="1" x14ac:dyDescent="0.25">
      <c r="A33" s="50"/>
      <c r="B33" s="35">
        <f t="shared" si="0"/>
        <v>24</v>
      </c>
      <c r="C33" s="42" t="s">
        <v>10</v>
      </c>
      <c r="D33" s="36" t="s">
        <v>38</v>
      </c>
      <c r="E33" s="36" t="s">
        <v>84</v>
      </c>
      <c r="F33" s="33" t="s">
        <v>224</v>
      </c>
      <c r="G33" s="36" t="s">
        <v>121</v>
      </c>
      <c r="H33" s="36" t="s">
        <v>184</v>
      </c>
      <c r="I33" s="36" t="s">
        <v>223</v>
      </c>
      <c r="J33" s="36">
        <v>1</v>
      </c>
      <c r="K33" s="68"/>
      <c r="L33" s="40"/>
    </row>
    <row r="34" spans="1:12" s="52" customFormat="1" ht="24" x14ac:dyDescent="0.25">
      <c r="A34" s="50"/>
      <c r="B34" s="34">
        <f>ROW(B34) - ROW($B$9)</f>
        <v>25</v>
      </c>
      <c r="C34" s="41" t="s">
        <v>13</v>
      </c>
      <c r="D34" s="43" t="s">
        <v>39</v>
      </c>
      <c r="E34" s="43" t="s">
        <v>85</v>
      </c>
      <c r="F34" s="43" t="s">
        <v>224</v>
      </c>
      <c r="G34" s="43" t="s">
        <v>225</v>
      </c>
      <c r="H34" s="44" t="s">
        <v>223</v>
      </c>
      <c r="I34" s="45" t="s">
        <v>223</v>
      </c>
      <c r="J34" s="43">
        <v>13</v>
      </c>
      <c r="K34" s="70"/>
      <c r="L34" s="46"/>
    </row>
    <row r="35" spans="1:12" s="52" customFormat="1" ht="36" x14ac:dyDescent="0.25">
      <c r="A35" s="50"/>
      <c r="B35" s="35">
        <f t="shared" si="0"/>
        <v>26</v>
      </c>
      <c r="C35" s="42" t="s">
        <v>14</v>
      </c>
      <c r="D35" s="36" t="s">
        <v>40</v>
      </c>
      <c r="E35" s="36" t="s">
        <v>86</v>
      </c>
      <c r="F35" s="36" t="s">
        <v>122</v>
      </c>
      <c r="G35" s="36" t="s">
        <v>153</v>
      </c>
      <c r="H35" s="36" t="s">
        <v>185</v>
      </c>
      <c r="I35" s="36" t="s">
        <v>223</v>
      </c>
      <c r="J35" s="36">
        <v>1</v>
      </c>
      <c r="K35" s="68"/>
      <c r="L35" s="40"/>
    </row>
    <row r="36" spans="1:12" s="52" customFormat="1" x14ac:dyDescent="0.25">
      <c r="A36" s="50"/>
      <c r="B36" s="34">
        <f>ROW(B36) - ROW($B$9)</f>
        <v>27</v>
      </c>
      <c r="C36" s="42" t="s">
        <v>14</v>
      </c>
      <c r="D36" s="33" t="s">
        <v>41</v>
      </c>
      <c r="E36" s="33" t="s">
        <v>87</v>
      </c>
      <c r="F36" s="33" t="s">
        <v>122</v>
      </c>
      <c r="G36" s="33" t="s">
        <v>154</v>
      </c>
      <c r="H36" s="33" t="s">
        <v>186</v>
      </c>
      <c r="I36" s="36" t="s">
        <v>223</v>
      </c>
      <c r="J36" s="33">
        <v>1</v>
      </c>
      <c r="K36" s="67"/>
      <c r="L36" s="40"/>
    </row>
    <row r="37" spans="1:12" s="52" customFormat="1" ht="48" x14ac:dyDescent="0.25">
      <c r="A37" s="50"/>
      <c r="B37" s="35">
        <f t="shared" si="0"/>
        <v>28</v>
      </c>
      <c r="C37" s="41" t="s">
        <v>15</v>
      </c>
      <c r="D37" s="36" t="s">
        <v>262</v>
      </c>
      <c r="E37" s="36" t="s">
        <v>88</v>
      </c>
      <c r="F37" s="36" t="s">
        <v>123</v>
      </c>
      <c r="G37" s="36" t="s">
        <v>155</v>
      </c>
      <c r="H37" s="36" t="s">
        <v>177</v>
      </c>
      <c r="I37" s="36" t="s">
        <v>210</v>
      </c>
      <c r="J37" s="36">
        <v>11</v>
      </c>
      <c r="K37" s="72" t="s">
        <v>235</v>
      </c>
      <c r="L37" s="40"/>
    </row>
    <row r="38" spans="1:12" s="52" customFormat="1" x14ac:dyDescent="0.25">
      <c r="A38" s="50"/>
      <c r="B38" s="35">
        <f t="shared" si="0"/>
        <v>29</v>
      </c>
      <c r="C38" s="41" t="s">
        <v>15</v>
      </c>
      <c r="D38" s="36" t="s">
        <v>42</v>
      </c>
      <c r="E38" s="36" t="s">
        <v>89</v>
      </c>
      <c r="F38" s="36" t="s">
        <v>123</v>
      </c>
      <c r="G38" s="36" t="s">
        <v>156</v>
      </c>
      <c r="H38" s="36" t="s">
        <v>177</v>
      </c>
      <c r="I38" s="36" t="s">
        <v>211</v>
      </c>
      <c r="J38" s="36">
        <v>3</v>
      </c>
      <c r="K38" s="68"/>
      <c r="L38" s="40"/>
    </row>
    <row r="39" spans="1:12" s="52" customFormat="1" x14ac:dyDescent="0.25">
      <c r="A39" s="50"/>
      <c r="B39" s="34">
        <f>ROW(B39) - ROW($B$9)</f>
        <v>30</v>
      </c>
      <c r="C39" s="41" t="s">
        <v>15</v>
      </c>
      <c r="D39" s="33" t="s">
        <v>43</v>
      </c>
      <c r="E39" s="36" t="s">
        <v>259</v>
      </c>
      <c r="F39" s="36" t="s">
        <v>123</v>
      </c>
      <c r="G39" s="36" t="s">
        <v>260</v>
      </c>
      <c r="H39" s="36" t="s">
        <v>177</v>
      </c>
      <c r="I39" s="36" t="s">
        <v>261</v>
      </c>
      <c r="J39" s="36">
        <v>1</v>
      </c>
      <c r="K39" s="67"/>
      <c r="L39" s="40"/>
    </row>
    <row r="40" spans="1:12" s="52" customFormat="1" x14ac:dyDescent="0.25">
      <c r="A40" s="50"/>
      <c r="B40" s="34">
        <f>ROW(B40) - ROW($B$9)</f>
        <v>31</v>
      </c>
      <c r="C40" s="41" t="s">
        <v>15</v>
      </c>
      <c r="D40" s="33" t="s">
        <v>44</v>
      </c>
      <c r="E40" s="33" t="s">
        <v>90</v>
      </c>
      <c r="F40" s="33" t="s">
        <v>123</v>
      </c>
      <c r="G40" s="33" t="s">
        <v>157</v>
      </c>
      <c r="H40" s="33" t="s">
        <v>177</v>
      </c>
      <c r="I40" s="33" t="s">
        <v>212</v>
      </c>
      <c r="J40" s="33">
        <v>2</v>
      </c>
      <c r="K40" s="67"/>
      <c r="L40" s="40"/>
    </row>
    <row r="41" spans="1:12" s="52" customFormat="1" ht="36" x14ac:dyDescent="0.25">
      <c r="A41" s="50"/>
      <c r="B41" s="35">
        <f t="shared" si="0"/>
        <v>32</v>
      </c>
      <c r="C41" s="41" t="s">
        <v>15</v>
      </c>
      <c r="D41" s="36" t="s">
        <v>45</v>
      </c>
      <c r="E41" s="36" t="s">
        <v>234</v>
      </c>
      <c r="F41" s="36" t="s">
        <v>233</v>
      </c>
      <c r="G41" s="36" t="s">
        <v>271</v>
      </c>
      <c r="H41" s="36" t="s">
        <v>177</v>
      </c>
      <c r="I41" s="36" t="s">
        <v>213</v>
      </c>
      <c r="J41" s="36">
        <v>1</v>
      </c>
      <c r="K41" s="68"/>
      <c r="L41" s="40"/>
    </row>
    <row r="42" spans="1:12" s="52" customFormat="1" x14ac:dyDescent="0.25">
      <c r="A42" s="50"/>
      <c r="B42" s="34">
        <f>ROW(B42) - ROW($B$9)</f>
        <v>33</v>
      </c>
      <c r="C42" s="41" t="s">
        <v>15</v>
      </c>
      <c r="D42" s="33" t="s">
        <v>46</v>
      </c>
      <c r="E42" s="33" t="s">
        <v>91</v>
      </c>
      <c r="F42" s="33" t="s">
        <v>123</v>
      </c>
      <c r="G42" s="33" t="s">
        <v>158</v>
      </c>
      <c r="H42" s="33" t="s">
        <v>177</v>
      </c>
      <c r="I42" s="33" t="s">
        <v>214</v>
      </c>
      <c r="J42" s="33">
        <v>5</v>
      </c>
      <c r="K42" s="67"/>
      <c r="L42" s="40"/>
    </row>
    <row r="43" spans="1:12" s="52" customFormat="1" x14ac:dyDescent="0.25">
      <c r="A43" s="50"/>
      <c r="B43" s="35">
        <f t="shared" si="0"/>
        <v>34</v>
      </c>
      <c r="C43" s="41" t="s">
        <v>15</v>
      </c>
      <c r="D43" s="36" t="s">
        <v>47</v>
      </c>
      <c r="E43" s="36" t="s">
        <v>92</v>
      </c>
      <c r="F43" s="36" t="s">
        <v>123</v>
      </c>
      <c r="G43" s="36" t="s">
        <v>159</v>
      </c>
      <c r="H43" s="36" t="s">
        <v>177</v>
      </c>
      <c r="I43" s="36" t="s">
        <v>215</v>
      </c>
      <c r="J43" s="36">
        <v>2</v>
      </c>
      <c r="K43" s="68"/>
      <c r="L43" s="40"/>
    </row>
    <row r="44" spans="1:12" s="52" customFormat="1" x14ac:dyDescent="0.25">
      <c r="A44" s="50"/>
      <c r="B44" s="34">
        <f>ROW(B44) - ROW($B$9)</f>
        <v>35</v>
      </c>
      <c r="C44" s="41" t="s">
        <v>15</v>
      </c>
      <c r="D44" s="33" t="s">
        <v>48</v>
      </c>
      <c r="E44" s="33" t="s">
        <v>93</v>
      </c>
      <c r="F44" s="33" t="s">
        <v>123</v>
      </c>
      <c r="G44" s="33" t="s">
        <v>160</v>
      </c>
      <c r="H44" s="33" t="s">
        <v>177</v>
      </c>
      <c r="I44" s="33" t="s">
        <v>216</v>
      </c>
      <c r="J44" s="33">
        <v>3</v>
      </c>
      <c r="K44" s="67"/>
      <c r="L44" s="40"/>
    </row>
    <row r="45" spans="1:12" s="52" customFormat="1" x14ac:dyDescent="0.25">
      <c r="A45" s="50"/>
      <c r="B45" s="35">
        <f t="shared" si="0"/>
        <v>36</v>
      </c>
      <c r="C45" s="41" t="s">
        <v>15</v>
      </c>
      <c r="D45" s="36" t="s">
        <v>49</v>
      </c>
      <c r="E45" s="36" t="s">
        <v>94</v>
      </c>
      <c r="F45" s="36" t="s">
        <v>123</v>
      </c>
      <c r="G45" s="36" t="s">
        <v>161</v>
      </c>
      <c r="H45" s="36" t="s">
        <v>177</v>
      </c>
      <c r="I45" s="36" t="s">
        <v>217</v>
      </c>
      <c r="J45" s="36">
        <v>2</v>
      </c>
      <c r="K45" s="68"/>
      <c r="L45" s="40"/>
    </row>
    <row r="46" spans="1:12" s="52" customFormat="1" x14ac:dyDescent="0.25">
      <c r="A46" s="50"/>
      <c r="B46" s="34">
        <f>ROW(B46) - ROW($B$9)</f>
        <v>37</v>
      </c>
      <c r="C46" s="41" t="s">
        <v>15</v>
      </c>
      <c r="D46" s="33" t="s">
        <v>50</v>
      </c>
      <c r="E46" s="33" t="s">
        <v>95</v>
      </c>
      <c r="F46" s="33" t="s">
        <v>123</v>
      </c>
      <c r="G46" s="33" t="s">
        <v>162</v>
      </c>
      <c r="H46" s="33" t="s">
        <v>177</v>
      </c>
      <c r="I46" s="33" t="s">
        <v>218</v>
      </c>
      <c r="J46" s="33">
        <v>2</v>
      </c>
      <c r="K46" s="67"/>
      <c r="L46" s="40"/>
    </row>
    <row r="47" spans="1:12" s="52" customFormat="1" x14ac:dyDescent="0.25">
      <c r="A47" s="73"/>
      <c r="B47" s="74">
        <f t="shared" si="0"/>
        <v>38</v>
      </c>
      <c r="C47" s="75" t="s">
        <v>15</v>
      </c>
      <c r="D47" s="76" t="s">
        <v>51</v>
      </c>
      <c r="E47" s="76" t="s">
        <v>96</v>
      </c>
      <c r="F47" s="76" t="s">
        <v>123</v>
      </c>
      <c r="G47" s="76" t="s">
        <v>163</v>
      </c>
      <c r="H47" s="76" t="s">
        <v>177</v>
      </c>
      <c r="I47" s="76" t="s">
        <v>219</v>
      </c>
      <c r="J47" s="76">
        <v>1</v>
      </c>
      <c r="K47" s="77"/>
      <c r="L47" s="78"/>
    </row>
    <row r="48" spans="1:12" s="52" customFormat="1" x14ac:dyDescent="0.25">
      <c r="A48" s="50"/>
      <c r="B48" s="34">
        <f>ROW(B48) - ROW($B$9)</f>
        <v>39</v>
      </c>
      <c r="C48" s="41" t="s">
        <v>15</v>
      </c>
      <c r="D48" s="33" t="s">
        <v>52</v>
      </c>
      <c r="E48" s="33" t="s">
        <v>97</v>
      </c>
      <c r="F48" s="33" t="s">
        <v>123</v>
      </c>
      <c r="G48" s="33" t="s">
        <v>164</v>
      </c>
      <c r="H48" s="33" t="s">
        <v>177</v>
      </c>
      <c r="I48" s="33" t="s">
        <v>220</v>
      </c>
      <c r="J48" s="33">
        <v>1</v>
      </c>
      <c r="K48" s="67"/>
      <c r="L48" s="40"/>
    </row>
    <row r="49" spans="1:12" s="52" customFormat="1" x14ac:dyDescent="0.25">
      <c r="A49" s="50"/>
      <c r="B49" s="34">
        <f>ROW(B49) - ROW($B$9)</f>
        <v>40</v>
      </c>
      <c r="C49" s="41" t="s">
        <v>124</v>
      </c>
      <c r="D49" s="43" t="s">
        <v>252</v>
      </c>
      <c r="E49" s="43" t="s">
        <v>98</v>
      </c>
      <c r="F49" s="43" t="s">
        <v>224</v>
      </c>
      <c r="G49" s="43" t="s">
        <v>274</v>
      </c>
      <c r="H49" s="44" t="s">
        <v>223</v>
      </c>
      <c r="I49" s="43" t="s">
        <v>223</v>
      </c>
      <c r="J49" s="43">
        <v>6</v>
      </c>
      <c r="K49" s="70"/>
      <c r="L49" s="46"/>
    </row>
    <row r="50" spans="1:12" s="52" customFormat="1" ht="48" x14ac:dyDescent="0.25">
      <c r="A50" s="50"/>
      <c r="B50" s="35">
        <f t="shared" si="0"/>
        <v>41</v>
      </c>
      <c r="C50" s="42" t="s">
        <v>16</v>
      </c>
      <c r="D50" s="36" t="s">
        <v>253</v>
      </c>
      <c r="E50" s="36" t="s">
        <v>275</v>
      </c>
      <c r="F50" s="36" t="s">
        <v>224</v>
      </c>
      <c r="G50" s="36" t="s">
        <v>276</v>
      </c>
      <c r="H50" s="36" t="s">
        <v>224</v>
      </c>
      <c r="I50" s="33" t="s">
        <v>223</v>
      </c>
      <c r="J50" s="36">
        <v>2</v>
      </c>
      <c r="K50" s="72"/>
      <c r="L50" s="36"/>
    </row>
    <row r="51" spans="1:12" ht="36" x14ac:dyDescent="0.25">
      <c r="A51" s="1"/>
      <c r="B51" s="34">
        <f>ROW(B51) - ROW($B$9)</f>
        <v>42</v>
      </c>
      <c r="C51" s="42" t="s">
        <v>16</v>
      </c>
      <c r="D51" s="33" t="s">
        <v>254</v>
      </c>
      <c r="E51" s="33" t="s">
        <v>255</v>
      </c>
      <c r="F51" s="33" t="s">
        <v>224</v>
      </c>
      <c r="G51" s="33" t="s">
        <v>256</v>
      </c>
      <c r="H51" s="33" t="s">
        <v>257</v>
      </c>
      <c r="I51" s="33" t="s">
        <v>223</v>
      </c>
      <c r="J51" s="33">
        <v>1</v>
      </c>
      <c r="K51" s="79"/>
      <c r="L51" s="33"/>
    </row>
    <row r="52" spans="1:12" s="52" customFormat="1" ht="48" x14ac:dyDescent="0.25">
      <c r="A52" s="50"/>
      <c r="B52" s="35">
        <f>ROW(B52) - ROW($B$9)</f>
        <v>43</v>
      </c>
      <c r="C52" s="42" t="s">
        <v>16</v>
      </c>
      <c r="D52" s="36" t="s">
        <v>222</v>
      </c>
      <c r="E52" s="36" t="s">
        <v>104</v>
      </c>
      <c r="F52" s="36" t="s">
        <v>224</v>
      </c>
      <c r="G52" s="36" t="s">
        <v>130</v>
      </c>
      <c r="H52" s="36" t="s">
        <v>192</v>
      </c>
      <c r="I52" s="33" t="s">
        <v>223</v>
      </c>
      <c r="J52" s="36">
        <v>1</v>
      </c>
      <c r="K52" s="68"/>
      <c r="L52" s="40"/>
    </row>
    <row r="53" spans="1:12" s="52" customFormat="1" ht="24" x14ac:dyDescent="0.25">
      <c r="A53" s="50"/>
      <c r="B53" s="34">
        <f>ROW(B53) - ROW($B$9)</f>
        <v>44</v>
      </c>
      <c r="C53" s="41" t="s">
        <v>17</v>
      </c>
      <c r="D53" s="33" t="s">
        <v>53</v>
      </c>
      <c r="E53" s="33" t="s">
        <v>99</v>
      </c>
      <c r="F53" s="33" t="s">
        <v>125</v>
      </c>
      <c r="G53" s="33" t="s">
        <v>165</v>
      </c>
      <c r="H53" s="33" t="s">
        <v>187</v>
      </c>
      <c r="I53" s="33" t="s">
        <v>223</v>
      </c>
      <c r="J53" s="33">
        <v>1</v>
      </c>
      <c r="K53" s="67"/>
      <c r="L53" s="40"/>
    </row>
    <row r="54" spans="1:12" s="52" customFormat="1" x14ac:dyDescent="0.25">
      <c r="A54" s="50"/>
      <c r="B54" s="35">
        <f t="shared" si="0"/>
        <v>45</v>
      </c>
      <c r="C54" s="42" t="s">
        <v>17</v>
      </c>
      <c r="D54" s="36" t="s">
        <v>54</v>
      </c>
      <c r="E54" s="36" t="s">
        <v>100</v>
      </c>
      <c r="F54" s="36" t="s">
        <v>126</v>
      </c>
      <c r="G54" s="36" t="s">
        <v>166</v>
      </c>
      <c r="H54" s="36" t="s">
        <v>188</v>
      </c>
      <c r="I54" s="33" t="s">
        <v>223</v>
      </c>
      <c r="J54" s="36">
        <v>1</v>
      </c>
      <c r="K54" s="68"/>
      <c r="L54" s="40"/>
    </row>
    <row r="55" spans="1:12" s="52" customFormat="1" ht="24" x14ac:dyDescent="0.25">
      <c r="A55" s="50"/>
      <c r="B55" s="34">
        <f>ROW(B55) - ROW($B$9)</f>
        <v>46</v>
      </c>
      <c r="C55" s="41" t="s">
        <v>14</v>
      </c>
      <c r="D55" s="33" t="s">
        <v>55</v>
      </c>
      <c r="E55" s="33" t="s">
        <v>101</v>
      </c>
      <c r="F55" s="33" t="s">
        <v>127</v>
      </c>
      <c r="G55" s="33" t="s">
        <v>167</v>
      </c>
      <c r="H55" s="33" t="s">
        <v>189</v>
      </c>
      <c r="I55" s="33" t="s">
        <v>223</v>
      </c>
      <c r="J55" s="33">
        <v>1</v>
      </c>
      <c r="K55" s="67"/>
      <c r="L55" s="40"/>
    </row>
    <row r="56" spans="1:12" s="52" customFormat="1" ht="24" x14ac:dyDescent="0.25">
      <c r="A56" s="50"/>
      <c r="B56" s="35">
        <f t="shared" si="0"/>
        <v>47</v>
      </c>
      <c r="C56" s="42" t="s">
        <v>17</v>
      </c>
      <c r="D56" s="36" t="s">
        <v>56</v>
      </c>
      <c r="E56" s="36" t="s">
        <v>102</v>
      </c>
      <c r="F56" s="36" t="s">
        <v>128</v>
      </c>
      <c r="G56" s="36" t="s">
        <v>168</v>
      </c>
      <c r="H56" s="36" t="s">
        <v>190</v>
      </c>
      <c r="I56" s="33" t="s">
        <v>223</v>
      </c>
      <c r="J56" s="36">
        <v>1</v>
      </c>
      <c r="K56" s="68"/>
      <c r="L56" s="40"/>
    </row>
    <row r="57" spans="1:12" s="52" customFormat="1" ht="24" x14ac:dyDescent="0.25">
      <c r="A57" s="50"/>
      <c r="B57" s="34">
        <f>ROW(B57) - ROW($B$9)</f>
        <v>48</v>
      </c>
      <c r="C57" s="41" t="s">
        <v>17</v>
      </c>
      <c r="D57" s="33" t="s">
        <v>57</v>
      </c>
      <c r="E57" s="33" t="s">
        <v>103</v>
      </c>
      <c r="F57" s="33" t="s">
        <v>129</v>
      </c>
      <c r="G57" s="33" t="s">
        <v>169</v>
      </c>
      <c r="H57" s="33" t="s">
        <v>191</v>
      </c>
      <c r="I57" s="33" t="s">
        <v>223</v>
      </c>
      <c r="J57" s="33">
        <v>1</v>
      </c>
      <c r="K57" s="67"/>
      <c r="L57" s="40"/>
    </row>
    <row r="58" spans="1:12" s="52" customFormat="1" ht="24" x14ac:dyDescent="0.25">
      <c r="A58" s="50"/>
      <c r="B58" s="34">
        <f>ROW(B58) - ROW($B$9)</f>
        <v>49</v>
      </c>
      <c r="C58" s="41" t="s">
        <v>18</v>
      </c>
      <c r="D58" s="33" t="s">
        <v>58</v>
      </c>
      <c r="E58" s="33" t="s">
        <v>105</v>
      </c>
      <c r="F58" s="33" t="s">
        <v>131</v>
      </c>
      <c r="G58" s="33" t="s">
        <v>170</v>
      </c>
      <c r="H58" s="33" t="s">
        <v>193</v>
      </c>
      <c r="I58" s="33" t="s">
        <v>223</v>
      </c>
      <c r="J58" s="33">
        <v>1</v>
      </c>
      <c r="K58" s="67"/>
      <c r="L58" s="40"/>
    </row>
    <row r="59" spans="1:12" s="52" customFormat="1" ht="24" x14ac:dyDescent="0.25">
      <c r="A59" s="50"/>
      <c r="B59" s="35">
        <f t="shared" si="0"/>
        <v>50</v>
      </c>
      <c r="C59" s="42" t="s">
        <v>17</v>
      </c>
      <c r="D59" s="36" t="s">
        <v>59</v>
      </c>
      <c r="E59" s="36" t="s">
        <v>106</v>
      </c>
      <c r="F59" s="36" t="s">
        <v>132</v>
      </c>
      <c r="G59" s="36" t="s">
        <v>171</v>
      </c>
      <c r="H59" s="36" t="s">
        <v>194</v>
      </c>
      <c r="I59" s="33" t="s">
        <v>223</v>
      </c>
      <c r="J59" s="36">
        <v>1</v>
      </c>
      <c r="K59" s="68"/>
      <c r="L59" s="40"/>
    </row>
    <row r="60" spans="1:12" s="52" customFormat="1" ht="24" x14ac:dyDescent="0.25">
      <c r="A60" s="50"/>
      <c r="B60" s="34">
        <f>ROW(B60) - ROW($B$9)</f>
        <v>51</v>
      </c>
      <c r="C60" s="41" t="s">
        <v>17</v>
      </c>
      <c r="D60" s="33" t="s">
        <v>60</v>
      </c>
      <c r="E60" s="33" t="s">
        <v>107</v>
      </c>
      <c r="F60" s="33" t="s">
        <v>133</v>
      </c>
      <c r="G60" s="33" t="s">
        <v>172</v>
      </c>
      <c r="H60" s="33" t="s">
        <v>195</v>
      </c>
      <c r="I60" s="33" t="s">
        <v>223</v>
      </c>
      <c r="J60" s="33">
        <v>1</v>
      </c>
      <c r="K60" s="67"/>
      <c r="L60" s="40"/>
    </row>
    <row r="61" spans="1:12" s="52" customFormat="1" x14ac:dyDescent="0.25">
      <c r="A61" s="50"/>
      <c r="B61" s="35">
        <f t="shared" si="0"/>
        <v>52</v>
      </c>
      <c r="C61" s="42" t="s">
        <v>17</v>
      </c>
      <c r="D61" s="36" t="s">
        <v>61</v>
      </c>
      <c r="E61" s="36" t="s">
        <v>108</v>
      </c>
      <c r="F61" s="36" t="s">
        <v>134</v>
      </c>
      <c r="G61" s="36" t="s">
        <v>173</v>
      </c>
      <c r="H61" s="36" t="s">
        <v>196</v>
      </c>
      <c r="I61" s="33" t="s">
        <v>223</v>
      </c>
      <c r="J61" s="36">
        <v>1</v>
      </c>
      <c r="K61" s="68"/>
      <c r="L61" s="40"/>
    </row>
    <row r="62" spans="1:12" s="52" customFormat="1" ht="24" x14ac:dyDescent="0.25">
      <c r="A62" s="50"/>
      <c r="B62" s="34">
        <f>ROW(B62) - ROW($B$9)</f>
        <v>53</v>
      </c>
      <c r="C62" s="41" t="s">
        <v>17</v>
      </c>
      <c r="D62" s="33" t="s">
        <v>62</v>
      </c>
      <c r="E62" s="33" t="s">
        <v>109</v>
      </c>
      <c r="F62" s="33" t="s">
        <v>135</v>
      </c>
      <c r="G62" s="33" t="s">
        <v>174</v>
      </c>
      <c r="H62" s="33" t="s">
        <v>190</v>
      </c>
      <c r="I62" s="33" t="s">
        <v>223</v>
      </c>
      <c r="J62" s="33">
        <v>1</v>
      </c>
      <c r="K62" s="67"/>
      <c r="L62" s="40"/>
    </row>
    <row r="63" spans="1:12" s="52" customFormat="1" ht="24" x14ac:dyDescent="0.25">
      <c r="A63" s="50"/>
      <c r="B63" s="47">
        <f t="shared" si="0"/>
        <v>54</v>
      </c>
      <c r="C63" s="48" t="s">
        <v>17</v>
      </c>
      <c r="D63" s="40" t="s">
        <v>63</v>
      </c>
      <c r="E63" s="40" t="s">
        <v>110</v>
      </c>
      <c r="F63" s="40" t="s">
        <v>136</v>
      </c>
      <c r="G63" s="40" t="s">
        <v>175</v>
      </c>
      <c r="H63" s="40" t="s">
        <v>197</v>
      </c>
      <c r="I63" s="49" t="s">
        <v>223</v>
      </c>
      <c r="J63" s="40">
        <v>1</v>
      </c>
      <c r="K63" s="80"/>
      <c r="L63" s="40"/>
    </row>
    <row r="64" spans="1:12" s="52" customFormat="1" ht="38.25" x14ac:dyDescent="0.25">
      <c r="A64" s="50"/>
      <c r="B64" s="47">
        <f t="shared" si="0"/>
        <v>55</v>
      </c>
      <c r="C64" s="48" t="s">
        <v>263</v>
      </c>
      <c r="D64" s="40" t="s">
        <v>223</v>
      </c>
      <c r="E64" s="40" t="s">
        <v>223</v>
      </c>
      <c r="F64" s="40" t="s">
        <v>223</v>
      </c>
      <c r="G64" s="40" t="s">
        <v>223</v>
      </c>
      <c r="H64" s="40" t="s">
        <v>223</v>
      </c>
      <c r="I64" s="40" t="s">
        <v>223</v>
      </c>
      <c r="J64" s="40">
        <v>1</v>
      </c>
      <c r="K64" s="81" t="s">
        <v>270</v>
      </c>
      <c r="L64" s="40"/>
    </row>
    <row r="65" spans="1:12" s="52" customFormat="1" ht="38.25" x14ac:dyDescent="0.25">
      <c r="A65" s="50"/>
      <c r="B65" s="47">
        <f t="shared" si="0"/>
        <v>56</v>
      </c>
      <c r="C65" s="48" t="s">
        <v>264</v>
      </c>
      <c r="D65" s="40" t="s">
        <v>223</v>
      </c>
      <c r="E65" s="40" t="s">
        <v>223</v>
      </c>
      <c r="F65" s="40" t="s">
        <v>223</v>
      </c>
      <c r="G65" s="40" t="s">
        <v>223</v>
      </c>
      <c r="H65" s="40" t="s">
        <v>223</v>
      </c>
      <c r="I65" s="40" t="s">
        <v>223</v>
      </c>
      <c r="J65" s="40">
        <v>1</v>
      </c>
      <c r="K65" s="81" t="s">
        <v>270</v>
      </c>
      <c r="L65" s="40"/>
    </row>
    <row r="66" spans="1:12" s="52" customFormat="1" ht="38.25" x14ac:dyDescent="0.25">
      <c r="A66" s="50"/>
      <c r="B66" s="47">
        <f t="shared" si="0"/>
        <v>57</v>
      </c>
      <c r="C66" s="48" t="s">
        <v>269</v>
      </c>
      <c r="D66" s="40" t="s">
        <v>223</v>
      </c>
      <c r="E66" s="40" t="s">
        <v>223</v>
      </c>
      <c r="F66" s="40" t="s">
        <v>223</v>
      </c>
      <c r="G66" s="40" t="s">
        <v>223</v>
      </c>
      <c r="H66" s="40" t="s">
        <v>223</v>
      </c>
      <c r="I66" s="40"/>
      <c r="J66" s="40">
        <v>1</v>
      </c>
      <c r="K66" s="81" t="s">
        <v>270</v>
      </c>
      <c r="L66" s="40"/>
    </row>
    <row r="67" spans="1:12" s="52" customFormat="1" ht="24.75" thickBot="1" x14ac:dyDescent="0.3">
      <c r="A67" s="50"/>
      <c r="B67" s="47">
        <f t="shared" si="0"/>
        <v>58</v>
      </c>
      <c r="C67" s="48" t="s">
        <v>265</v>
      </c>
      <c r="D67" s="40" t="s">
        <v>223</v>
      </c>
      <c r="E67" s="40" t="s">
        <v>266</v>
      </c>
      <c r="F67" s="40" t="s">
        <v>223</v>
      </c>
      <c r="G67" s="40" t="s">
        <v>267</v>
      </c>
      <c r="H67" s="40" t="s">
        <v>268</v>
      </c>
      <c r="I67" s="40" t="s">
        <v>223</v>
      </c>
      <c r="J67" s="40">
        <v>1</v>
      </c>
      <c r="K67" s="80"/>
      <c r="L67" s="59"/>
    </row>
    <row r="68" spans="1:12" ht="15.75" thickBot="1" x14ac:dyDescent="0.3">
      <c r="A68" s="1"/>
      <c r="B68" s="53"/>
      <c r="C68" s="54"/>
      <c r="D68" s="55"/>
      <c r="E68" s="56"/>
      <c r="F68" s="57"/>
      <c r="G68" s="58"/>
      <c r="H68" s="57"/>
      <c r="I68" s="58"/>
      <c r="J68" s="58"/>
      <c r="K68" s="64"/>
      <c r="L68" s="65"/>
    </row>
    <row r="73" spans="1:12" x14ac:dyDescent="0.25">
      <c r="A73" s="1"/>
    </row>
    <row r="74" spans="1:12" x14ac:dyDescent="0.25">
      <c r="A74" s="1"/>
    </row>
    <row r="75" spans="1:12" x14ac:dyDescent="0.25">
      <c r="A75" s="1"/>
    </row>
    <row r="76" spans="1:12" x14ac:dyDescent="0.25">
      <c r="A76" s="1"/>
    </row>
    <row r="77" spans="1:12" x14ac:dyDescent="0.25">
      <c r="A77" s="1"/>
    </row>
    <row r="78" spans="1:12" x14ac:dyDescent="0.25">
      <c r="A78" s="1"/>
    </row>
    <row r="79" spans="1:12" x14ac:dyDescent="0.25">
      <c r="A79" s="1"/>
    </row>
    <row r="80" spans="1:12" x14ac:dyDescent="0.25">
      <c r="A80" s="1"/>
    </row>
    <row r="81" spans="1:1" x14ac:dyDescent="0.25">
      <c r="A81" s="1"/>
    </row>
  </sheetData>
  <mergeCells count="3">
    <mergeCell ref="I1:L1"/>
    <mergeCell ref="L3:L8"/>
    <mergeCell ref="K68:L6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77"/>
  <sheetViews>
    <sheetView workbookViewId="0">
      <selection activeCell="N9" sqref="N9"/>
    </sheetView>
  </sheetViews>
  <sheetFormatPr defaultRowHeight="15" x14ac:dyDescent="0.25"/>
  <cols>
    <col min="2" max="2" width="3.140625" style="23" customWidth="1"/>
    <col min="3" max="3" width="18" style="23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8.28515625" bestFit="1" customWidth="1"/>
    <col min="12" max="12" width="8.7109375" bestFit="1" customWidth="1"/>
    <col min="13" max="13" width="26.140625" customWidth="1"/>
    <col min="14" max="14" width="16.5703125" bestFit="1" customWidth="1"/>
    <col min="15" max="15" width="26.85546875" bestFit="1" customWidth="1"/>
  </cols>
  <sheetData>
    <row r="1" spans="1:13" ht="15.75" thickBot="1" x14ac:dyDescent="0.3">
      <c r="A1" s="1"/>
      <c r="B1" s="18"/>
      <c r="C1" s="18"/>
      <c r="D1" s="2"/>
      <c r="E1" s="2"/>
      <c r="F1" s="2"/>
      <c r="G1" s="2"/>
      <c r="H1" s="2"/>
      <c r="I1" s="60"/>
      <c r="J1" s="60"/>
      <c r="K1" s="60"/>
      <c r="L1" s="60"/>
      <c r="M1" s="61"/>
    </row>
    <row r="2" spans="1:13" ht="32.25" thickBot="1" x14ac:dyDescent="0.3">
      <c r="A2" s="1"/>
      <c r="B2" s="19"/>
      <c r="C2" s="28"/>
      <c r="D2" s="9" t="s">
        <v>0</v>
      </c>
      <c r="E2" s="9"/>
      <c r="F2" s="37" t="s">
        <v>230</v>
      </c>
      <c r="G2" s="10"/>
      <c r="H2" s="4"/>
      <c r="I2" s="4"/>
      <c r="J2" s="4"/>
      <c r="K2" s="4"/>
      <c r="L2" s="4"/>
      <c r="M2" s="3"/>
    </row>
    <row r="3" spans="1:13" x14ac:dyDescent="0.25">
      <c r="A3" s="1"/>
      <c r="B3" s="20"/>
      <c r="C3" s="29"/>
      <c r="D3" s="11" t="s">
        <v>1</v>
      </c>
      <c r="E3" s="11"/>
      <c r="F3" s="38" t="s">
        <v>231</v>
      </c>
      <c r="G3" s="11"/>
      <c r="H3" s="5"/>
      <c r="I3" s="5"/>
      <c r="J3" s="5"/>
      <c r="K3" s="5"/>
      <c r="L3" s="5"/>
      <c r="M3" s="62"/>
    </row>
    <row r="4" spans="1:13" x14ac:dyDescent="0.25">
      <c r="A4" s="1"/>
      <c r="B4" s="20"/>
      <c r="C4" s="29"/>
      <c r="D4" s="11" t="s">
        <v>2</v>
      </c>
      <c r="E4" s="11"/>
      <c r="F4" s="38" t="s">
        <v>231</v>
      </c>
      <c r="G4" s="12"/>
      <c r="H4" s="7"/>
      <c r="I4" s="7"/>
      <c r="J4" s="6"/>
      <c r="K4" s="6"/>
      <c r="L4" s="6"/>
      <c r="M4" s="63"/>
    </row>
    <row r="5" spans="1:13" x14ac:dyDescent="0.25">
      <c r="A5" s="1"/>
      <c r="B5" s="20"/>
      <c r="C5" s="29"/>
      <c r="D5" s="11" t="s">
        <v>3</v>
      </c>
      <c r="E5" s="11"/>
      <c r="F5" s="39" t="s">
        <v>5</v>
      </c>
      <c r="G5" s="13"/>
      <c r="H5" s="6"/>
      <c r="I5" s="6"/>
      <c r="J5" s="6"/>
      <c r="K5" s="6"/>
      <c r="L5" s="6"/>
      <c r="M5" s="63"/>
    </row>
    <row r="6" spans="1:13" x14ac:dyDescent="0.25">
      <c r="A6" s="1"/>
      <c r="B6" s="21"/>
      <c r="C6" s="30"/>
      <c r="D6" s="14"/>
      <c r="E6" s="14"/>
      <c r="F6" s="15"/>
      <c r="G6" s="13"/>
      <c r="H6" s="6"/>
      <c r="I6" s="6"/>
      <c r="J6" s="6"/>
      <c r="K6" s="6"/>
      <c r="L6" s="6"/>
      <c r="M6" s="63"/>
    </row>
    <row r="7" spans="1:13" x14ac:dyDescent="0.25">
      <c r="A7" s="1"/>
      <c r="B7" s="22"/>
      <c r="C7" s="31"/>
      <c r="D7" s="16"/>
      <c r="E7" s="16"/>
      <c r="F7" s="17"/>
      <c r="G7" s="16"/>
      <c r="H7" s="8"/>
      <c r="I7" s="8"/>
      <c r="J7" s="8"/>
      <c r="K7" s="8"/>
      <c r="L7" s="8"/>
      <c r="M7" s="63"/>
    </row>
    <row r="8" spans="1:13" ht="15.75" thickBot="1" x14ac:dyDescent="0.3">
      <c r="A8" s="1"/>
      <c r="B8" s="24"/>
      <c r="C8" s="32"/>
      <c r="D8" s="25"/>
      <c r="E8" s="25"/>
      <c r="F8" s="26"/>
      <c r="G8" s="16"/>
      <c r="H8" s="8"/>
      <c r="I8" s="8"/>
      <c r="J8" s="8"/>
      <c r="K8" s="8"/>
      <c r="L8" s="8"/>
      <c r="M8" s="63"/>
    </row>
    <row r="9" spans="1:13" ht="15.75" thickBot="1" x14ac:dyDescent="0.3">
      <c r="A9" s="1"/>
      <c r="B9" s="27" t="s">
        <v>4</v>
      </c>
      <c r="C9" s="27" t="s">
        <v>6</v>
      </c>
      <c r="D9" s="27" t="s">
        <v>19</v>
      </c>
      <c r="E9" s="27" t="s">
        <v>64</v>
      </c>
      <c r="F9" s="27" t="s">
        <v>111</v>
      </c>
      <c r="G9" s="27" t="s">
        <v>137</v>
      </c>
      <c r="H9" s="27" t="s">
        <v>176</v>
      </c>
      <c r="I9" s="27" t="s">
        <v>226</v>
      </c>
      <c r="J9" s="27" t="s">
        <v>221</v>
      </c>
      <c r="K9" s="27" t="s">
        <v>227</v>
      </c>
      <c r="L9" s="66" t="s">
        <v>228</v>
      </c>
      <c r="M9" s="27" t="s">
        <v>229</v>
      </c>
    </row>
    <row r="10" spans="1:13" x14ac:dyDescent="0.25">
      <c r="A10" s="50"/>
      <c r="B10" s="34">
        <f>ROW(B10) - ROW($B$9)</f>
        <v>1</v>
      </c>
      <c r="C10" s="41" t="s">
        <v>7</v>
      </c>
      <c r="D10" s="33" t="s">
        <v>232</v>
      </c>
      <c r="E10" s="33" t="s">
        <v>65</v>
      </c>
      <c r="F10" s="33" t="s">
        <v>112</v>
      </c>
      <c r="G10" s="33" t="s">
        <v>138</v>
      </c>
      <c r="H10" s="33" t="s">
        <v>177</v>
      </c>
      <c r="I10" s="33" t="s">
        <v>198</v>
      </c>
      <c r="J10" s="33">
        <v>3</v>
      </c>
      <c r="K10" s="67">
        <f>J10*5</f>
        <v>15</v>
      </c>
      <c r="L10" s="67"/>
      <c r="M10" s="51"/>
    </row>
    <row r="11" spans="1:13" x14ac:dyDescent="0.25">
      <c r="A11" s="50"/>
      <c r="B11" s="35">
        <f t="shared" ref="B11:B67" si="0">ROW(B11) - ROW($B$9)</f>
        <v>2</v>
      </c>
      <c r="C11" s="41" t="s">
        <v>7</v>
      </c>
      <c r="D11" s="36" t="s">
        <v>20</v>
      </c>
      <c r="E11" s="36" t="s">
        <v>66</v>
      </c>
      <c r="F11" s="36" t="s">
        <v>113</v>
      </c>
      <c r="G11" s="36" t="s">
        <v>139</v>
      </c>
      <c r="H11" s="36" t="s">
        <v>178</v>
      </c>
      <c r="I11" s="36" t="s">
        <v>199</v>
      </c>
      <c r="J11" s="36">
        <v>2</v>
      </c>
      <c r="K11" s="67">
        <f t="shared" ref="K11:K67" si="1">J11*5</f>
        <v>10</v>
      </c>
      <c r="L11" s="68"/>
      <c r="M11" s="36"/>
    </row>
    <row r="12" spans="1:13" ht="24" x14ac:dyDescent="0.25">
      <c r="A12" s="50"/>
      <c r="B12" s="34">
        <f>ROW(B12) - ROW($B$9)</f>
        <v>3</v>
      </c>
      <c r="C12" s="41" t="s">
        <v>7</v>
      </c>
      <c r="D12" s="33" t="s">
        <v>21</v>
      </c>
      <c r="E12" s="33" t="s">
        <v>67</v>
      </c>
      <c r="F12" s="33" t="s">
        <v>112</v>
      </c>
      <c r="G12" s="33" t="s">
        <v>140</v>
      </c>
      <c r="H12" s="33" t="s">
        <v>177</v>
      </c>
      <c r="I12" s="33" t="s">
        <v>200</v>
      </c>
      <c r="J12" s="33">
        <v>14</v>
      </c>
      <c r="K12" s="67">
        <f t="shared" si="1"/>
        <v>70</v>
      </c>
      <c r="L12" s="67"/>
      <c r="M12" s="40"/>
    </row>
    <row r="13" spans="1:13" x14ac:dyDescent="0.25">
      <c r="A13" s="50"/>
      <c r="B13" s="35">
        <f t="shared" si="0"/>
        <v>4</v>
      </c>
      <c r="C13" s="41" t="s">
        <v>7</v>
      </c>
      <c r="D13" s="36" t="s">
        <v>22</v>
      </c>
      <c r="E13" s="36" t="s">
        <v>68</v>
      </c>
      <c r="F13" s="36" t="s">
        <v>112</v>
      </c>
      <c r="G13" s="36" t="s">
        <v>141</v>
      </c>
      <c r="H13" s="36" t="s">
        <v>177</v>
      </c>
      <c r="I13" s="36" t="s">
        <v>201</v>
      </c>
      <c r="J13" s="36">
        <v>1</v>
      </c>
      <c r="K13" s="67">
        <f t="shared" si="1"/>
        <v>5</v>
      </c>
      <c r="L13" s="68"/>
      <c r="M13" s="40"/>
    </row>
    <row r="14" spans="1:13" ht="48" x14ac:dyDescent="0.25">
      <c r="A14" s="50"/>
      <c r="B14" s="34">
        <f>ROW(B14) - ROW($B$9)</f>
        <v>5</v>
      </c>
      <c r="C14" s="41" t="s">
        <v>7</v>
      </c>
      <c r="D14" s="33" t="s">
        <v>236</v>
      </c>
      <c r="E14" s="33" t="s">
        <v>69</v>
      </c>
      <c r="F14" s="33" t="s">
        <v>114</v>
      </c>
      <c r="G14" s="33" t="s">
        <v>142</v>
      </c>
      <c r="H14" s="33" t="s">
        <v>177</v>
      </c>
      <c r="I14" s="33" t="s">
        <v>202</v>
      </c>
      <c r="J14" s="33">
        <v>22</v>
      </c>
      <c r="K14" s="67">
        <f t="shared" si="1"/>
        <v>110</v>
      </c>
      <c r="L14" s="67"/>
      <c r="M14" s="40"/>
    </row>
    <row r="15" spans="1:13" x14ac:dyDescent="0.25">
      <c r="A15" s="50"/>
      <c r="B15" s="35">
        <f t="shared" si="0"/>
        <v>6</v>
      </c>
      <c r="C15" s="41" t="s">
        <v>7</v>
      </c>
      <c r="D15" s="36" t="s">
        <v>23</v>
      </c>
      <c r="E15" s="36" t="s">
        <v>70</v>
      </c>
      <c r="F15" s="36" t="s">
        <v>112</v>
      </c>
      <c r="G15" s="36" t="s">
        <v>272</v>
      </c>
      <c r="H15" s="36" t="s">
        <v>177</v>
      </c>
      <c r="I15" s="36" t="s">
        <v>203</v>
      </c>
      <c r="J15" s="36">
        <v>2</v>
      </c>
      <c r="K15" s="67">
        <f t="shared" si="1"/>
        <v>10</v>
      </c>
      <c r="L15" s="68"/>
      <c r="M15" s="40"/>
    </row>
    <row r="16" spans="1:13" x14ac:dyDescent="0.25">
      <c r="A16" s="50"/>
      <c r="B16" s="34">
        <f>ROW(B16) - ROW($B$9)</f>
        <v>7</v>
      </c>
      <c r="C16" s="41" t="s">
        <v>7</v>
      </c>
      <c r="D16" s="33" t="s">
        <v>24</v>
      </c>
      <c r="E16" s="33" t="s">
        <v>71</v>
      </c>
      <c r="F16" s="33" t="s">
        <v>115</v>
      </c>
      <c r="G16" s="33" t="s">
        <v>143</v>
      </c>
      <c r="H16" s="33" t="s">
        <v>179</v>
      </c>
      <c r="I16" s="33" t="s">
        <v>204</v>
      </c>
      <c r="J16" s="33">
        <v>2</v>
      </c>
      <c r="K16" s="67">
        <f t="shared" si="1"/>
        <v>10</v>
      </c>
      <c r="L16" s="67"/>
      <c r="M16" s="40"/>
    </row>
    <row r="17" spans="1:13" x14ac:dyDescent="0.25">
      <c r="A17" s="50"/>
      <c r="B17" s="35">
        <f t="shared" si="0"/>
        <v>8</v>
      </c>
      <c r="C17" s="41" t="s">
        <v>7</v>
      </c>
      <c r="D17" s="36" t="s">
        <v>25</v>
      </c>
      <c r="E17" s="36" t="s">
        <v>72</v>
      </c>
      <c r="F17" s="36" t="s">
        <v>112</v>
      </c>
      <c r="G17" s="36" t="s">
        <v>144</v>
      </c>
      <c r="H17" s="36" t="s">
        <v>177</v>
      </c>
      <c r="I17" s="36" t="s">
        <v>205</v>
      </c>
      <c r="J17" s="36">
        <v>6</v>
      </c>
      <c r="K17" s="67">
        <f t="shared" si="1"/>
        <v>30</v>
      </c>
      <c r="L17" s="68"/>
      <c r="M17" s="40"/>
    </row>
    <row r="18" spans="1:13" x14ac:dyDescent="0.25">
      <c r="A18" s="50"/>
      <c r="B18" s="34">
        <f>ROW(B18) - ROW($B$9)</f>
        <v>9</v>
      </c>
      <c r="C18" s="41" t="s">
        <v>7</v>
      </c>
      <c r="D18" s="33" t="s">
        <v>26</v>
      </c>
      <c r="E18" s="33" t="s">
        <v>73</v>
      </c>
      <c r="F18" s="33" t="s">
        <v>114</v>
      </c>
      <c r="G18" s="36" t="s">
        <v>272</v>
      </c>
      <c r="H18" s="33" t="s">
        <v>180</v>
      </c>
      <c r="I18" s="33" t="s">
        <v>206</v>
      </c>
      <c r="J18" s="33">
        <v>3</v>
      </c>
      <c r="K18" s="67">
        <f t="shared" si="1"/>
        <v>15</v>
      </c>
      <c r="L18" s="67"/>
      <c r="M18" s="40"/>
    </row>
    <row r="19" spans="1:13" x14ac:dyDescent="0.25">
      <c r="A19" s="50"/>
      <c r="B19" s="35">
        <f t="shared" si="0"/>
        <v>10</v>
      </c>
      <c r="C19" s="41" t="s">
        <v>7</v>
      </c>
      <c r="D19" s="36" t="s">
        <v>27</v>
      </c>
      <c r="E19" s="36" t="s">
        <v>74</v>
      </c>
      <c r="F19" s="36" t="s">
        <v>112</v>
      </c>
      <c r="G19" s="36" t="s">
        <v>145</v>
      </c>
      <c r="H19" s="36" t="s">
        <v>177</v>
      </c>
      <c r="I19" s="36" t="s">
        <v>203</v>
      </c>
      <c r="J19" s="36">
        <v>1</v>
      </c>
      <c r="K19" s="67">
        <f t="shared" si="1"/>
        <v>5</v>
      </c>
      <c r="L19" s="68"/>
      <c r="M19" s="40"/>
    </row>
    <row r="20" spans="1:13" x14ac:dyDescent="0.25">
      <c r="A20" s="50"/>
      <c r="B20" s="35">
        <f t="shared" si="0"/>
        <v>11</v>
      </c>
      <c r="C20" s="41" t="s">
        <v>7</v>
      </c>
      <c r="D20" s="36" t="s">
        <v>28</v>
      </c>
      <c r="E20" s="36" t="s">
        <v>75</v>
      </c>
      <c r="F20" s="36" t="s">
        <v>112</v>
      </c>
      <c r="G20" s="36" t="s">
        <v>146</v>
      </c>
      <c r="H20" s="36" t="s">
        <v>177</v>
      </c>
      <c r="I20" s="36" t="s">
        <v>207</v>
      </c>
      <c r="J20" s="36">
        <v>2</v>
      </c>
      <c r="K20" s="67">
        <f t="shared" si="1"/>
        <v>10</v>
      </c>
      <c r="L20" s="68"/>
      <c r="M20" s="40"/>
    </row>
    <row r="21" spans="1:13" x14ac:dyDescent="0.25">
      <c r="A21" s="50"/>
      <c r="B21" s="34">
        <f>ROW(B21) - ROW($B$9)</f>
        <v>12</v>
      </c>
      <c r="C21" s="41" t="s">
        <v>7</v>
      </c>
      <c r="D21" s="33" t="s">
        <v>29</v>
      </c>
      <c r="E21" s="33" t="s">
        <v>76</v>
      </c>
      <c r="F21" s="33" t="s">
        <v>112</v>
      </c>
      <c r="G21" s="33" t="s">
        <v>147</v>
      </c>
      <c r="H21" s="33" t="s">
        <v>177</v>
      </c>
      <c r="I21" s="33" t="s">
        <v>208</v>
      </c>
      <c r="J21" s="33">
        <v>2</v>
      </c>
      <c r="K21" s="67">
        <f t="shared" si="1"/>
        <v>10</v>
      </c>
      <c r="L21" s="67"/>
      <c r="M21" s="40"/>
    </row>
    <row r="22" spans="1:13" x14ac:dyDescent="0.25">
      <c r="A22" s="50"/>
      <c r="B22" s="35">
        <f t="shared" si="0"/>
        <v>13</v>
      </c>
      <c r="C22" s="41" t="s">
        <v>7</v>
      </c>
      <c r="D22" s="36" t="s">
        <v>30</v>
      </c>
      <c r="E22" s="36" t="s">
        <v>77</v>
      </c>
      <c r="F22" s="36" t="s">
        <v>112</v>
      </c>
      <c r="G22" s="36" t="s">
        <v>148</v>
      </c>
      <c r="H22" s="36" t="s">
        <v>177</v>
      </c>
      <c r="I22" s="36" t="s">
        <v>209</v>
      </c>
      <c r="J22" s="36">
        <v>1</v>
      </c>
      <c r="K22" s="67">
        <f t="shared" si="1"/>
        <v>5</v>
      </c>
      <c r="L22" s="68"/>
      <c r="M22" s="40"/>
    </row>
    <row r="23" spans="1:13" ht="24" x14ac:dyDescent="0.25">
      <c r="A23" s="50"/>
      <c r="B23" s="35">
        <f t="shared" si="0"/>
        <v>14</v>
      </c>
      <c r="C23" s="41" t="s">
        <v>8</v>
      </c>
      <c r="D23" s="36" t="s">
        <v>31</v>
      </c>
      <c r="E23" s="36" t="s">
        <v>78</v>
      </c>
      <c r="F23" s="36" t="s">
        <v>116</v>
      </c>
      <c r="G23" s="36" t="s">
        <v>149</v>
      </c>
      <c r="H23" s="36" t="s">
        <v>181</v>
      </c>
      <c r="I23" s="36" t="s">
        <v>223</v>
      </c>
      <c r="J23" s="36">
        <v>1</v>
      </c>
      <c r="K23" s="67">
        <f t="shared" si="1"/>
        <v>5</v>
      </c>
      <c r="L23" s="68"/>
      <c r="M23" s="40"/>
    </row>
    <row r="24" spans="1:13" ht="24" x14ac:dyDescent="0.25">
      <c r="A24" s="50"/>
      <c r="B24" s="34">
        <f>ROW(B24) - ROW($B$9)</f>
        <v>15</v>
      </c>
      <c r="C24" s="41" t="s">
        <v>8</v>
      </c>
      <c r="D24" s="33" t="s">
        <v>32</v>
      </c>
      <c r="E24" s="33" t="s">
        <v>79</v>
      </c>
      <c r="F24" s="33" t="s">
        <v>117</v>
      </c>
      <c r="G24" s="33" t="s">
        <v>150</v>
      </c>
      <c r="H24" s="33" t="s">
        <v>182</v>
      </c>
      <c r="I24" s="33" t="s">
        <v>223</v>
      </c>
      <c r="J24" s="33">
        <v>1</v>
      </c>
      <c r="K24" s="67">
        <f t="shared" si="1"/>
        <v>5</v>
      </c>
      <c r="L24" s="67"/>
      <c r="M24" s="40"/>
    </row>
    <row r="25" spans="1:13" ht="24" x14ac:dyDescent="0.25">
      <c r="A25" s="50"/>
      <c r="B25" s="35">
        <f t="shared" ref="B25" si="2">ROW(B25) - ROW($B$9)</f>
        <v>16</v>
      </c>
      <c r="C25" s="41" t="s">
        <v>8</v>
      </c>
      <c r="D25" s="36" t="s">
        <v>237</v>
      </c>
      <c r="E25" s="36" t="s">
        <v>238</v>
      </c>
      <c r="F25" s="36" t="s">
        <v>239</v>
      </c>
      <c r="G25" s="36" t="s">
        <v>240</v>
      </c>
      <c r="H25" s="36" t="s">
        <v>182</v>
      </c>
      <c r="I25" s="36" t="s">
        <v>223</v>
      </c>
      <c r="J25" s="36">
        <v>1</v>
      </c>
      <c r="K25" s="67">
        <f t="shared" si="1"/>
        <v>5</v>
      </c>
      <c r="L25" s="69"/>
      <c r="M25" s="36"/>
    </row>
    <row r="26" spans="1:13" x14ac:dyDescent="0.25">
      <c r="A26" s="50"/>
      <c r="B26" s="34">
        <f>ROW(B26) - ROW($B$9)</f>
        <v>17</v>
      </c>
      <c r="C26" s="41" t="s">
        <v>9</v>
      </c>
      <c r="D26" s="33" t="s">
        <v>33</v>
      </c>
      <c r="E26" s="33" t="s">
        <v>80</v>
      </c>
      <c r="F26" s="33" t="s">
        <v>118</v>
      </c>
      <c r="G26" s="33" t="s">
        <v>151</v>
      </c>
      <c r="H26" s="33" t="s">
        <v>180</v>
      </c>
      <c r="I26" s="36" t="s">
        <v>223</v>
      </c>
      <c r="J26" s="33">
        <v>2</v>
      </c>
      <c r="K26" s="67">
        <f t="shared" si="1"/>
        <v>10</v>
      </c>
      <c r="L26" s="67"/>
      <c r="M26" s="40"/>
    </row>
    <row r="27" spans="1:13" x14ac:dyDescent="0.25">
      <c r="A27" s="50"/>
      <c r="B27" s="35">
        <f t="shared" si="0"/>
        <v>18</v>
      </c>
      <c r="C27" s="42" t="s">
        <v>10</v>
      </c>
      <c r="D27" s="36" t="s">
        <v>34</v>
      </c>
      <c r="E27" s="36" t="s">
        <v>81</v>
      </c>
      <c r="F27" s="36" t="s">
        <v>118</v>
      </c>
      <c r="G27" s="36" t="s">
        <v>152</v>
      </c>
      <c r="H27" s="36" t="s">
        <v>180</v>
      </c>
      <c r="I27" s="36" t="s">
        <v>223</v>
      </c>
      <c r="J27" s="36">
        <v>1</v>
      </c>
      <c r="K27" s="67">
        <f t="shared" si="1"/>
        <v>5</v>
      </c>
      <c r="L27" s="68"/>
      <c r="M27" s="40"/>
    </row>
    <row r="28" spans="1:13" x14ac:dyDescent="0.25">
      <c r="A28" s="50"/>
      <c r="B28" s="34">
        <f>ROW(B28) - ROW($B$9)</f>
        <v>19</v>
      </c>
      <c r="C28" s="42" t="s">
        <v>241</v>
      </c>
      <c r="D28" s="43" t="s">
        <v>35</v>
      </c>
      <c r="E28" s="43" t="s">
        <v>242</v>
      </c>
      <c r="F28" s="43" t="s">
        <v>224</v>
      </c>
      <c r="G28" s="43" t="s">
        <v>243</v>
      </c>
      <c r="H28" s="43" t="s">
        <v>223</v>
      </c>
      <c r="I28" s="43" t="s">
        <v>223</v>
      </c>
      <c r="J28" s="43">
        <v>1</v>
      </c>
      <c r="K28" s="67">
        <f t="shared" si="1"/>
        <v>5</v>
      </c>
      <c r="L28" s="70"/>
      <c r="M28" s="46"/>
    </row>
    <row r="29" spans="1:13" ht="48" x14ac:dyDescent="0.25">
      <c r="A29" s="50"/>
      <c r="B29" s="35">
        <f t="shared" si="0"/>
        <v>20</v>
      </c>
      <c r="C29" s="42" t="s">
        <v>11</v>
      </c>
      <c r="D29" s="36" t="s">
        <v>244</v>
      </c>
      <c r="E29" s="36" t="s">
        <v>245</v>
      </c>
      <c r="F29" s="36" t="s">
        <v>224</v>
      </c>
      <c r="G29" s="36" t="s">
        <v>246</v>
      </c>
      <c r="H29" s="36" t="s">
        <v>247</v>
      </c>
      <c r="I29" s="36" t="s">
        <v>223</v>
      </c>
      <c r="J29" s="36">
        <v>3</v>
      </c>
      <c r="K29" s="67">
        <f t="shared" si="1"/>
        <v>15</v>
      </c>
      <c r="L29" s="68"/>
      <c r="M29" s="40"/>
    </row>
    <row r="30" spans="1:13" x14ac:dyDescent="0.25">
      <c r="A30" s="50"/>
      <c r="B30" s="34">
        <f>ROW(B30) - ROW($B$9)</f>
        <v>21</v>
      </c>
      <c r="C30" s="41" t="s">
        <v>12</v>
      </c>
      <c r="D30" s="33" t="s">
        <v>36</v>
      </c>
      <c r="E30" s="33" t="s">
        <v>82</v>
      </c>
      <c r="F30" s="33" t="s">
        <v>224</v>
      </c>
      <c r="G30" s="33" t="s">
        <v>119</v>
      </c>
      <c r="H30" s="33" t="s">
        <v>183</v>
      </c>
      <c r="I30" s="36" t="s">
        <v>223</v>
      </c>
      <c r="J30" s="33">
        <v>1</v>
      </c>
      <c r="K30" s="67">
        <f t="shared" si="1"/>
        <v>5</v>
      </c>
      <c r="L30" s="71" t="s">
        <v>273</v>
      </c>
      <c r="M30" s="40"/>
    </row>
    <row r="31" spans="1:13" x14ac:dyDescent="0.25">
      <c r="A31" s="50"/>
      <c r="B31" s="35">
        <f t="shared" si="0"/>
        <v>22</v>
      </c>
      <c r="C31" s="42" t="s">
        <v>258</v>
      </c>
      <c r="D31" s="36" t="s">
        <v>37</v>
      </c>
      <c r="E31" s="36" t="s">
        <v>83</v>
      </c>
      <c r="F31" s="36" t="s">
        <v>224</v>
      </c>
      <c r="G31" s="36" t="s">
        <v>120</v>
      </c>
      <c r="H31" s="36" t="s">
        <v>183</v>
      </c>
      <c r="I31" s="36" t="s">
        <v>223</v>
      </c>
      <c r="J31" s="36">
        <v>1</v>
      </c>
      <c r="K31" s="67">
        <f t="shared" si="1"/>
        <v>5</v>
      </c>
      <c r="L31" s="68"/>
      <c r="M31" s="40"/>
    </row>
    <row r="32" spans="1:13" ht="48" x14ac:dyDescent="0.25">
      <c r="A32" s="50"/>
      <c r="B32" s="34">
        <f>ROW(B32) - ROW($B$9)</f>
        <v>23</v>
      </c>
      <c r="C32" s="41" t="s">
        <v>248</v>
      </c>
      <c r="D32" s="33" t="s">
        <v>249</v>
      </c>
      <c r="E32" s="33" t="s">
        <v>250</v>
      </c>
      <c r="F32" s="33" t="s">
        <v>224</v>
      </c>
      <c r="G32" s="33" t="s">
        <v>251</v>
      </c>
      <c r="H32" s="33" t="s">
        <v>247</v>
      </c>
      <c r="I32" s="33" t="s">
        <v>223</v>
      </c>
      <c r="J32" s="33">
        <v>1</v>
      </c>
      <c r="K32" s="67">
        <f t="shared" si="1"/>
        <v>5</v>
      </c>
      <c r="L32" s="67"/>
      <c r="M32" s="40"/>
    </row>
    <row r="33" spans="1:13" x14ac:dyDescent="0.25">
      <c r="A33" s="50"/>
      <c r="B33" s="35">
        <f t="shared" si="0"/>
        <v>24</v>
      </c>
      <c r="C33" s="42" t="s">
        <v>10</v>
      </c>
      <c r="D33" s="36" t="s">
        <v>38</v>
      </c>
      <c r="E33" s="36" t="s">
        <v>84</v>
      </c>
      <c r="F33" s="33" t="s">
        <v>224</v>
      </c>
      <c r="G33" s="36" t="s">
        <v>121</v>
      </c>
      <c r="H33" s="36" t="s">
        <v>184</v>
      </c>
      <c r="I33" s="36" t="s">
        <v>223</v>
      </c>
      <c r="J33" s="36">
        <v>1</v>
      </c>
      <c r="K33" s="67">
        <f t="shared" si="1"/>
        <v>5</v>
      </c>
      <c r="L33" s="68"/>
      <c r="M33" s="40"/>
    </row>
    <row r="34" spans="1:13" ht="24" x14ac:dyDescent="0.25">
      <c r="A34" s="50"/>
      <c r="B34" s="34">
        <f>ROW(B34) - ROW($B$9)</f>
        <v>25</v>
      </c>
      <c r="C34" s="41" t="s">
        <v>13</v>
      </c>
      <c r="D34" s="43" t="s">
        <v>39</v>
      </c>
      <c r="E34" s="43" t="s">
        <v>85</v>
      </c>
      <c r="F34" s="43" t="s">
        <v>224</v>
      </c>
      <c r="G34" s="43" t="s">
        <v>225</v>
      </c>
      <c r="H34" s="44" t="s">
        <v>223</v>
      </c>
      <c r="I34" s="45" t="s">
        <v>223</v>
      </c>
      <c r="J34" s="43">
        <v>13</v>
      </c>
      <c r="K34" s="67">
        <f t="shared" si="1"/>
        <v>65</v>
      </c>
      <c r="L34" s="70"/>
      <c r="M34" s="46"/>
    </row>
    <row r="35" spans="1:13" ht="36" x14ac:dyDescent="0.25">
      <c r="A35" s="50"/>
      <c r="B35" s="35">
        <f t="shared" si="0"/>
        <v>26</v>
      </c>
      <c r="C35" s="42" t="s">
        <v>14</v>
      </c>
      <c r="D35" s="36" t="s">
        <v>40</v>
      </c>
      <c r="E35" s="36" t="s">
        <v>86</v>
      </c>
      <c r="F35" s="36" t="s">
        <v>122</v>
      </c>
      <c r="G35" s="36" t="s">
        <v>153</v>
      </c>
      <c r="H35" s="36" t="s">
        <v>185</v>
      </c>
      <c r="I35" s="36" t="s">
        <v>223</v>
      </c>
      <c r="J35" s="36">
        <v>1</v>
      </c>
      <c r="K35" s="67">
        <f t="shared" si="1"/>
        <v>5</v>
      </c>
      <c r="L35" s="68"/>
      <c r="M35" s="40"/>
    </row>
    <row r="36" spans="1:13" x14ac:dyDescent="0.25">
      <c r="A36" s="50"/>
      <c r="B36" s="34">
        <f>ROW(B36) - ROW($B$9)</f>
        <v>27</v>
      </c>
      <c r="C36" s="42" t="s">
        <v>14</v>
      </c>
      <c r="D36" s="33" t="s">
        <v>41</v>
      </c>
      <c r="E36" s="33" t="s">
        <v>87</v>
      </c>
      <c r="F36" s="33" t="s">
        <v>122</v>
      </c>
      <c r="G36" s="33" t="s">
        <v>154</v>
      </c>
      <c r="H36" s="33" t="s">
        <v>186</v>
      </c>
      <c r="I36" s="36" t="s">
        <v>223</v>
      </c>
      <c r="J36" s="33">
        <v>1</v>
      </c>
      <c r="K36" s="67">
        <f t="shared" si="1"/>
        <v>5</v>
      </c>
      <c r="L36" s="67"/>
      <c r="M36" s="40"/>
    </row>
    <row r="37" spans="1:13" ht="48" x14ac:dyDescent="0.25">
      <c r="A37" s="50"/>
      <c r="B37" s="35">
        <f t="shared" si="0"/>
        <v>28</v>
      </c>
      <c r="C37" s="41" t="s">
        <v>15</v>
      </c>
      <c r="D37" s="36" t="s">
        <v>262</v>
      </c>
      <c r="E37" s="36" t="s">
        <v>88</v>
      </c>
      <c r="F37" s="36" t="s">
        <v>123</v>
      </c>
      <c r="G37" s="36" t="s">
        <v>155</v>
      </c>
      <c r="H37" s="36" t="s">
        <v>177</v>
      </c>
      <c r="I37" s="36" t="s">
        <v>210</v>
      </c>
      <c r="J37" s="36">
        <v>11</v>
      </c>
      <c r="K37" s="67">
        <f t="shared" si="1"/>
        <v>55</v>
      </c>
      <c r="L37" s="72" t="s">
        <v>235</v>
      </c>
      <c r="M37" s="40"/>
    </row>
    <row r="38" spans="1:13" x14ac:dyDescent="0.25">
      <c r="A38" s="50"/>
      <c r="B38" s="35">
        <f t="shared" si="0"/>
        <v>29</v>
      </c>
      <c r="C38" s="41" t="s">
        <v>15</v>
      </c>
      <c r="D38" s="36" t="s">
        <v>42</v>
      </c>
      <c r="E38" s="36" t="s">
        <v>89</v>
      </c>
      <c r="F38" s="36" t="s">
        <v>123</v>
      </c>
      <c r="G38" s="36" t="s">
        <v>156</v>
      </c>
      <c r="H38" s="36" t="s">
        <v>177</v>
      </c>
      <c r="I38" s="36" t="s">
        <v>211</v>
      </c>
      <c r="J38" s="36">
        <v>3</v>
      </c>
      <c r="K38" s="67">
        <f t="shared" si="1"/>
        <v>15</v>
      </c>
      <c r="L38" s="68"/>
      <c r="M38" s="40"/>
    </row>
    <row r="39" spans="1:13" x14ac:dyDescent="0.25">
      <c r="A39" s="50"/>
      <c r="B39" s="34">
        <f>ROW(B39) - ROW($B$9)</f>
        <v>30</v>
      </c>
      <c r="C39" s="41" t="s">
        <v>15</v>
      </c>
      <c r="D39" s="33" t="s">
        <v>43</v>
      </c>
      <c r="E39" s="36" t="s">
        <v>259</v>
      </c>
      <c r="F39" s="36" t="s">
        <v>123</v>
      </c>
      <c r="G39" s="36" t="s">
        <v>260</v>
      </c>
      <c r="H39" s="36" t="s">
        <v>177</v>
      </c>
      <c r="I39" s="36" t="s">
        <v>261</v>
      </c>
      <c r="J39" s="36">
        <v>1</v>
      </c>
      <c r="K39" s="67">
        <f t="shared" si="1"/>
        <v>5</v>
      </c>
      <c r="L39" s="67"/>
      <c r="M39" s="40"/>
    </row>
    <row r="40" spans="1:13" x14ac:dyDescent="0.25">
      <c r="A40" s="50"/>
      <c r="B40" s="34">
        <f>ROW(B40) - ROW($B$9)</f>
        <v>31</v>
      </c>
      <c r="C40" s="41" t="s">
        <v>15</v>
      </c>
      <c r="D40" s="33" t="s">
        <v>44</v>
      </c>
      <c r="E40" s="33" t="s">
        <v>90</v>
      </c>
      <c r="F40" s="33" t="s">
        <v>123</v>
      </c>
      <c r="G40" s="33" t="s">
        <v>157</v>
      </c>
      <c r="H40" s="33" t="s">
        <v>177</v>
      </c>
      <c r="I40" s="33" t="s">
        <v>212</v>
      </c>
      <c r="J40" s="33">
        <v>2</v>
      </c>
      <c r="K40" s="67">
        <f t="shared" si="1"/>
        <v>10</v>
      </c>
      <c r="L40" s="67"/>
      <c r="M40" s="40"/>
    </row>
    <row r="41" spans="1:13" ht="24" x14ac:dyDescent="0.25">
      <c r="A41" s="50"/>
      <c r="B41" s="35">
        <f t="shared" si="0"/>
        <v>32</v>
      </c>
      <c r="C41" s="41" t="s">
        <v>15</v>
      </c>
      <c r="D41" s="36" t="s">
        <v>45</v>
      </c>
      <c r="E41" s="36" t="s">
        <v>234</v>
      </c>
      <c r="F41" s="36" t="s">
        <v>233</v>
      </c>
      <c r="G41" s="36" t="s">
        <v>271</v>
      </c>
      <c r="H41" s="36" t="s">
        <v>177</v>
      </c>
      <c r="I41" s="36" t="s">
        <v>213</v>
      </c>
      <c r="J41" s="36">
        <v>1</v>
      </c>
      <c r="K41" s="67">
        <f t="shared" si="1"/>
        <v>5</v>
      </c>
      <c r="L41" s="68"/>
      <c r="M41" s="40"/>
    </row>
    <row r="42" spans="1:13" x14ac:dyDescent="0.25">
      <c r="A42" s="50"/>
      <c r="B42" s="34">
        <f>ROW(B42) - ROW($B$9)</f>
        <v>33</v>
      </c>
      <c r="C42" s="41" t="s">
        <v>15</v>
      </c>
      <c r="D42" s="33" t="s">
        <v>46</v>
      </c>
      <c r="E42" s="33" t="s">
        <v>91</v>
      </c>
      <c r="F42" s="33" t="s">
        <v>123</v>
      </c>
      <c r="G42" s="33" t="s">
        <v>158</v>
      </c>
      <c r="H42" s="33" t="s">
        <v>177</v>
      </c>
      <c r="I42" s="33" t="s">
        <v>214</v>
      </c>
      <c r="J42" s="33">
        <v>5</v>
      </c>
      <c r="K42" s="67">
        <f t="shared" si="1"/>
        <v>25</v>
      </c>
      <c r="L42" s="67"/>
      <c r="M42" s="40"/>
    </row>
    <row r="43" spans="1:13" x14ac:dyDescent="0.25">
      <c r="A43" s="50"/>
      <c r="B43" s="35">
        <f t="shared" si="0"/>
        <v>34</v>
      </c>
      <c r="C43" s="41" t="s">
        <v>15</v>
      </c>
      <c r="D43" s="36" t="s">
        <v>47</v>
      </c>
      <c r="E43" s="36" t="s">
        <v>92</v>
      </c>
      <c r="F43" s="36" t="s">
        <v>123</v>
      </c>
      <c r="G43" s="36" t="s">
        <v>159</v>
      </c>
      <c r="H43" s="36" t="s">
        <v>177</v>
      </c>
      <c r="I43" s="36" t="s">
        <v>215</v>
      </c>
      <c r="J43" s="36">
        <v>2</v>
      </c>
      <c r="K43" s="67">
        <f t="shared" si="1"/>
        <v>10</v>
      </c>
      <c r="L43" s="68"/>
      <c r="M43" s="40"/>
    </row>
    <row r="44" spans="1:13" x14ac:dyDescent="0.25">
      <c r="A44" s="50"/>
      <c r="B44" s="34">
        <f>ROW(B44) - ROW($B$9)</f>
        <v>35</v>
      </c>
      <c r="C44" s="41" t="s">
        <v>15</v>
      </c>
      <c r="D44" s="33" t="s">
        <v>48</v>
      </c>
      <c r="E44" s="33" t="s">
        <v>93</v>
      </c>
      <c r="F44" s="33" t="s">
        <v>123</v>
      </c>
      <c r="G44" s="33" t="s">
        <v>160</v>
      </c>
      <c r="H44" s="33" t="s">
        <v>177</v>
      </c>
      <c r="I44" s="33" t="s">
        <v>216</v>
      </c>
      <c r="J44" s="33">
        <v>3</v>
      </c>
      <c r="K44" s="67">
        <f t="shared" si="1"/>
        <v>15</v>
      </c>
      <c r="L44" s="67"/>
      <c r="M44" s="40"/>
    </row>
    <row r="45" spans="1:13" x14ac:dyDescent="0.25">
      <c r="A45" s="50"/>
      <c r="B45" s="35">
        <f t="shared" si="0"/>
        <v>36</v>
      </c>
      <c r="C45" s="41" t="s">
        <v>15</v>
      </c>
      <c r="D45" s="36" t="s">
        <v>49</v>
      </c>
      <c r="E45" s="36" t="s">
        <v>94</v>
      </c>
      <c r="F45" s="36" t="s">
        <v>123</v>
      </c>
      <c r="G45" s="36" t="s">
        <v>161</v>
      </c>
      <c r="H45" s="36" t="s">
        <v>177</v>
      </c>
      <c r="I45" s="36" t="s">
        <v>217</v>
      </c>
      <c r="J45" s="36">
        <v>2</v>
      </c>
      <c r="K45" s="67">
        <f t="shared" si="1"/>
        <v>10</v>
      </c>
      <c r="L45" s="68"/>
      <c r="M45" s="40"/>
    </row>
    <row r="46" spans="1:13" x14ac:dyDescent="0.25">
      <c r="A46" s="50"/>
      <c r="B46" s="34">
        <f>ROW(B46) - ROW($B$9)</f>
        <v>37</v>
      </c>
      <c r="C46" s="41" t="s">
        <v>15</v>
      </c>
      <c r="D46" s="33" t="s">
        <v>50</v>
      </c>
      <c r="E46" s="33" t="s">
        <v>95</v>
      </c>
      <c r="F46" s="33" t="s">
        <v>123</v>
      </c>
      <c r="G46" s="33" t="s">
        <v>162</v>
      </c>
      <c r="H46" s="33" t="s">
        <v>177</v>
      </c>
      <c r="I46" s="33" t="s">
        <v>218</v>
      </c>
      <c r="J46" s="33">
        <v>2</v>
      </c>
      <c r="K46" s="67">
        <f t="shared" si="1"/>
        <v>10</v>
      </c>
      <c r="L46" s="67"/>
      <c r="M46" s="40"/>
    </row>
    <row r="47" spans="1:13" x14ac:dyDescent="0.25">
      <c r="A47" s="73"/>
      <c r="B47" s="74">
        <f t="shared" si="0"/>
        <v>38</v>
      </c>
      <c r="C47" s="75" t="s">
        <v>15</v>
      </c>
      <c r="D47" s="76" t="s">
        <v>51</v>
      </c>
      <c r="E47" s="76" t="s">
        <v>96</v>
      </c>
      <c r="F47" s="76" t="s">
        <v>123</v>
      </c>
      <c r="G47" s="76" t="s">
        <v>163</v>
      </c>
      <c r="H47" s="76" t="s">
        <v>177</v>
      </c>
      <c r="I47" s="76" t="s">
        <v>219</v>
      </c>
      <c r="J47" s="76">
        <v>1</v>
      </c>
      <c r="K47" s="67">
        <f t="shared" si="1"/>
        <v>5</v>
      </c>
      <c r="L47" s="77"/>
      <c r="M47" s="78"/>
    </row>
    <row r="48" spans="1:13" x14ac:dyDescent="0.25">
      <c r="A48" s="50"/>
      <c r="B48" s="34">
        <f>ROW(B48) - ROW($B$9)</f>
        <v>39</v>
      </c>
      <c r="C48" s="41" t="s">
        <v>15</v>
      </c>
      <c r="D48" s="33" t="s">
        <v>52</v>
      </c>
      <c r="E48" s="33" t="s">
        <v>97</v>
      </c>
      <c r="F48" s="33" t="s">
        <v>123</v>
      </c>
      <c r="G48" s="33" t="s">
        <v>164</v>
      </c>
      <c r="H48" s="33" t="s">
        <v>177</v>
      </c>
      <c r="I48" s="33" t="s">
        <v>220</v>
      </c>
      <c r="J48" s="33">
        <v>1</v>
      </c>
      <c r="K48" s="67">
        <f t="shared" si="1"/>
        <v>5</v>
      </c>
      <c r="L48" s="67"/>
      <c r="M48" s="40"/>
    </row>
    <row r="49" spans="1:13" x14ac:dyDescent="0.25">
      <c r="A49" s="50"/>
      <c r="B49" s="34">
        <f>ROW(B49) - ROW($B$9)</f>
        <v>40</v>
      </c>
      <c r="C49" s="41" t="s">
        <v>124</v>
      </c>
      <c r="D49" s="43" t="s">
        <v>252</v>
      </c>
      <c r="E49" s="43" t="s">
        <v>98</v>
      </c>
      <c r="F49" s="43" t="s">
        <v>224</v>
      </c>
      <c r="G49" s="43" t="s">
        <v>274</v>
      </c>
      <c r="H49" s="44" t="s">
        <v>223</v>
      </c>
      <c r="I49" s="43" t="s">
        <v>223</v>
      </c>
      <c r="J49" s="43">
        <v>6</v>
      </c>
      <c r="K49" s="67">
        <f t="shared" si="1"/>
        <v>30</v>
      </c>
      <c r="L49" s="70"/>
      <c r="M49" s="46"/>
    </row>
    <row r="50" spans="1:13" ht="48" x14ac:dyDescent="0.25">
      <c r="A50" s="50"/>
      <c r="B50" s="35">
        <f t="shared" si="0"/>
        <v>41</v>
      </c>
      <c r="C50" s="42" t="s">
        <v>16</v>
      </c>
      <c r="D50" s="36" t="s">
        <v>253</v>
      </c>
      <c r="E50" s="36" t="s">
        <v>275</v>
      </c>
      <c r="F50" s="36" t="s">
        <v>224</v>
      </c>
      <c r="G50" s="36" t="s">
        <v>276</v>
      </c>
      <c r="H50" s="36" t="s">
        <v>224</v>
      </c>
      <c r="I50" s="33" t="s">
        <v>223</v>
      </c>
      <c r="J50" s="36">
        <v>2</v>
      </c>
      <c r="K50" s="67">
        <f t="shared" si="1"/>
        <v>10</v>
      </c>
      <c r="L50" s="72"/>
      <c r="M50" s="36"/>
    </row>
    <row r="51" spans="1:13" ht="36" x14ac:dyDescent="0.25">
      <c r="A51" s="1"/>
      <c r="B51" s="34">
        <f>ROW(B51) - ROW($B$9)</f>
        <v>42</v>
      </c>
      <c r="C51" s="42" t="s">
        <v>16</v>
      </c>
      <c r="D51" s="33" t="s">
        <v>254</v>
      </c>
      <c r="E51" s="33" t="s">
        <v>255</v>
      </c>
      <c r="F51" s="33" t="s">
        <v>224</v>
      </c>
      <c r="G51" s="33" t="s">
        <v>256</v>
      </c>
      <c r="H51" s="33" t="s">
        <v>257</v>
      </c>
      <c r="I51" s="33" t="s">
        <v>223</v>
      </c>
      <c r="J51" s="33">
        <v>1</v>
      </c>
      <c r="K51" s="67">
        <f t="shared" si="1"/>
        <v>5</v>
      </c>
      <c r="L51" s="79"/>
      <c r="M51" s="33"/>
    </row>
    <row r="52" spans="1:13" ht="48" x14ac:dyDescent="0.25">
      <c r="A52" s="50"/>
      <c r="B52" s="35">
        <f>ROW(B52) - ROW($B$9)</f>
        <v>43</v>
      </c>
      <c r="C52" s="42" t="s">
        <v>16</v>
      </c>
      <c r="D52" s="36" t="s">
        <v>222</v>
      </c>
      <c r="E52" s="36" t="s">
        <v>104</v>
      </c>
      <c r="F52" s="36" t="s">
        <v>224</v>
      </c>
      <c r="G52" s="36" t="s">
        <v>130</v>
      </c>
      <c r="H52" s="36" t="s">
        <v>192</v>
      </c>
      <c r="I52" s="33" t="s">
        <v>223</v>
      </c>
      <c r="J52" s="36">
        <v>1</v>
      </c>
      <c r="K52" s="67">
        <f t="shared" si="1"/>
        <v>5</v>
      </c>
      <c r="L52" s="68"/>
      <c r="M52" s="40"/>
    </row>
    <row r="53" spans="1:13" ht="24" x14ac:dyDescent="0.25">
      <c r="A53" s="50"/>
      <c r="B53" s="34">
        <f>ROW(B53) - ROW($B$9)</f>
        <v>44</v>
      </c>
      <c r="C53" s="41" t="s">
        <v>17</v>
      </c>
      <c r="D53" s="33" t="s">
        <v>53</v>
      </c>
      <c r="E53" s="33" t="s">
        <v>99</v>
      </c>
      <c r="F53" s="33" t="s">
        <v>125</v>
      </c>
      <c r="G53" s="33" t="s">
        <v>165</v>
      </c>
      <c r="H53" s="33" t="s">
        <v>187</v>
      </c>
      <c r="I53" s="33" t="s">
        <v>223</v>
      </c>
      <c r="J53" s="33">
        <v>1</v>
      </c>
      <c r="K53" s="67">
        <f t="shared" si="1"/>
        <v>5</v>
      </c>
      <c r="L53" s="67"/>
      <c r="M53" s="40"/>
    </row>
    <row r="54" spans="1:13" x14ac:dyDescent="0.25">
      <c r="A54" s="50"/>
      <c r="B54" s="35">
        <f t="shared" si="0"/>
        <v>45</v>
      </c>
      <c r="C54" s="42" t="s">
        <v>17</v>
      </c>
      <c r="D54" s="36" t="s">
        <v>54</v>
      </c>
      <c r="E54" s="36" t="s">
        <v>100</v>
      </c>
      <c r="F54" s="36" t="s">
        <v>126</v>
      </c>
      <c r="G54" s="36" t="s">
        <v>166</v>
      </c>
      <c r="H54" s="36" t="s">
        <v>188</v>
      </c>
      <c r="I54" s="33" t="s">
        <v>223</v>
      </c>
      <c r="J54" s="36">
        <v>1</v>
      </c>
      <c r="K54" s="67">
        <f t="shared" si="1"/>
        <v>5</v>
      </c>
      <c r="L54" s="68"/>
      <c r="M54" s="40"/>
    </row>
    <row r="55" spans="1:13" x14ac:dyDescent="0.25">
      <c r="A55" s="50"/>
      <c r="B55" s="34">
        <f>ROW(B55) - ROW($B$9)</f>
        <v>46</v>
      </c>
      <c r="C55" s="41" t="s">
        <v>14</v>
      </c>
      <c r="D55" s="33" t="s">
        <v>55</v>
      </c>
      <c r="E55" s="33" t="s">
        <v>101</v>
      </c>
      <c r="F55" s="33" t="s">
        <v>127</v>
      </c>
      <c r="G55" s="33" t="s">
        <v>167</v>
      </c>
      <c r="H55" s="33" t="s">
        <v>189</v>
      </c>
      <c r="I55" s="33" t="s">
        <v>223</v>
      </c>
      <c r="J55" s="33">
        <v>1</v>
      </c>
      <c r="K55" s="67">
        <f t="shared" si="1"/>
        <v>5</v>
      </c>
      <c r="L55" s="67"/>
      <c r="M55" s="40"/>
    </row>
    <row r="56" spans="1:13" ht="24" x14ac:dyDescent="0.25">
      <c r="A56" s="50"/>
      <c r="B56" s="35">
        <f t="shared" si="0"/>
        <v>47</v>
      </c>
      <c r="C56" s="42" t="s">
        <v>17</v>
      </c>
      <c r="D56" s="36" t="s">
        <v>56</v>
      </c>
      <c r="E56" s="36" t="s">
        <v>102</v>
      </c>
      <c r="F56" s="36" t="s">
        <v>128</v>
      </c>
      <c r="G56" s="36" t="s">
        <v>168</v>
      </c>
      <c r="H56" s="36" t="s">
        <v>190</v>
      </c>
      <c r="I56" s="33" t="s">
        <v>223</v>
      </c>
      <c r="J56" s="36">
        <v>1</v>
      </c>
      <c r="K56" s="67">
        <f t="shared" si="1"/>
        <v>5</v>
      </c>
      <c r="L56" s="68"/>
      <c r="M56" s="40"/>
    </row>
    <row r="57" spans="1:13" ht="24" x14ac:dyDescent="0.25">
      <c r="A57" s="50"/>
      <c r="B57" s="34">
        <f>ROW(B57) - ROW($B$9)</f>
        <v>48</v>
      </c>
      <c r="C57" s="41" t="s">
        <v>17</v>
      </c>
      <c r="D57" s="33" t="s">
        <v>57</v>
      </c>
      <c r="E57" s="33" t="s">
        <v>103</v>
      </c>
      <c r="F57" s="33" t="s">
        <v>129</v>
      </c>
      <c r="G57" s="33" t="s">
        <v>169</v>
      </c>
      <c r="H57" s="33" t="s">
        <v>191</v>
      </c>
      <c r="I57" s="33" t="s">
        <v>223</v>
      </c>
      <c r="J57" s="33">
        <v>1</v>
      </c>
      <c r="K57" s="67">
        <f t="shared" si="1"/>
        <v>5</v>
      </c>
      <c r="L57" s="67"/>
      <c r="M57" s="40"/>
    </row>
    <row r="58" spans="1:13" x14ac:dyDescent="0.25">
      <c r="A58" s="50"/>
      <c r="B58" s="34">
        <f>ROW(B58) - ROW($B$9)</f>
        <v>49</v>
      </c>
      <c r="C58" s="41" t="s">
        <v>18</v>
      </c>
      <c r="D58" s="33" t="s">
        <v>58</v>
      </c>
      <c r="E58" s="33" t="s">
        <v>105</v>
      </c>
      <c r="F58" s="33" t="s">
        <v>131</v>
      </c>
      <c r="G58" s="33" t="s">
        <v>170</v>
      </c>
      <c r="H58" s="33" t="s">
        <v>193</v>
      </c>
      <c r="I58" s="33" t="s">
        <v>223</v>
      </c>
      <c r="J58" s="33">
        <v>1</v>
      </c>
      <c r="K58" s="67">
        <f t="shared" si="1"/>
        <v>5</v>
      </c>
      <c r="L58" s="67"/>
      <c r="M58" s="40"/>
    </row>
    <row r="59" spans="1:13" ht="24" x14ac:dyDescent="0.25">
      <c r="A59" s="50"/>
      <c r="B59" s="35">
        <f t="shared" si="0"/>
        <v>50</v>
      </c>
      <c r="C59" s="42" t="s">
        <v>17</v>
      </c>
      <c r="D59" s="36" t="s">
        <v>59</v>
      </c>
      <c r="E59" s="36" t="s">
        <v>106</v>
      </c>
      <c r="F59" s="36" t="s">
        <v>132</v>
      </c>
      <c r="G59" s="36" t="s">
        <v>171</v>
      </c>
      <c r="H59" s="36" t="s">
        <v>194</v>
      </c>
      <c r="I59" s="33" t="s">
        <v>223</v>
      </c>
      <c r="J59" s="36">
        <v>1</v>
      </c>
      <c r="K59" s="67">
        <f t="shared" si="1"/>
        <v>5</v>
      </c>
      <c r="L59" s="68"/>
      <c r="M59" s="40"/>
    </row>
    <row r="60" spans="1:13" ht="24" x14ac:dyDescent="0.25">
      <c r="A60" s="50"/>
      <c r="B60" s="34">
        <f>ROW(B60) - ROW($B$9)</f>
        <v>51</v>
      </c>
      <c r="C60" s="41" t="s">
        <v>17</v>
      </c>
      <c r="D60" s="33" t="s">
        <v>60</v>
      </c>
      <c r="E60" s="33" t="s">
        <v>107</v>
      </c>
      <c r="F60" s="33" t="s">
        <v>133</v>
      </c>
      <c r="G60" s="33" t="s">
        <v>172</v>
      </c>
      <c r="H60" s="33" t="s">
        <v>195</v>
      </c>
      <c r="I60" s="33" t="s">
        <v>223</v>
      </c>
      <c r="J60" s="33">
        <v>1</v>
      </c>
      <c r="K60" s="67">
        <f t="shared" si="1"/>
        <v>5</v>
      </c>
      <c r="L60" s="67"/>
      <c r="M60" s="40"/>
    </row>
    <row r="61" spans="1:13" x14ac:dyDescent="0.25">
      <c r="A61" s="50"/>
      <c r="B61" s="35">
        <f t="shared" si="0"/>
        <v>52</v>
      </c>
      <c r="C61" s="42" t="s">
        <v>17</v>
      </c>
      <c r="D61" s="36" t="s">
        <v>61</v>
      </c>
      <c r="E61" s="36" t="s">
        <v>108</v>
      </c>
      <c r="F61" s="36" t="s">
        <v>134</v>
      </c>
      <c r="G61" s="36" t="s">
        <v>173</v>
      </c>
      <c r="H61" s="36" t="s">
        <v>196</v>
      </c>
      <c r="I61" s="33" t="s">
        <v>223</v>
      </c>
      <c r="J61" s="36">
        <v>1</v>
      </c>
      <c r="K61" s="67">
        <f t="shared" si="1"/>
        <v>5</v>
      </c>
      <c r="L61" s="68"/>
      <c r="M61" s="40"/>
    </row>
    <row r="62" spans="1:13" x14ac:dyDescent="0.25">
      <c r="A62" s="50"/>
      <c r="B62" s="34">
        <f>ROW(B62) - ROW($B$9)</f>
        <v>53</v>
      </c>
      <c r="C62" s="41" t="s">
        <v>17</v>
      </c>
      <c r="D62" s="33" t="s">
        <v>62</v>
      </c>
      <c r="E62" s="33" t="s">
        <v>109</v>
      </c>
      <c r="F62" s="33" t="s">
        <v>135</v>
      </c>
      <c r="G62" s="33" t="s">
        <v>174</v>
      </c>
      <c r="H62" s="33" t="s">
        <v>190</v>
      </c>
      <c r="I62" s="33" t="s">
        <v>223</v>
      </c>
      <c r="J62" s="33">
        <v>1</v>
      </c>
      <c r="K62" s="67">
        <f t="shared" si="1"/>
        <v>5</v>
      </c>
      <c r="L62" s="67"/>
      <c r="M62" s="40"/>
    </row>
    <row r="63" spans="1:13" ht="24" x14ac:dyDescent="0.25">
      <c r="A63" s="50"/>
      <c r="B63" s="47">
        <f t="shared" si="0"/>
        <v>54</v>
      </c>
      <c r="C63" s="48" t="s">
        <v>17</v>
      </c>
      <c r="D63" s="40" t="s">
        <v>63</v>
      </c>
      <c r="E63" s="40" t="s">
        <v>110</v>
      </c>
      <c r="F63" s="40" t="s">
        <v>136</v>
      </c>
      <c r="G63" s="40" t="s">
        <v>175</v>
      </c>
      <c r="H63" s="40" t="s">
        <v>197</v>
      </c>
      <c r="I63" s="49" t="s">
        <v>223</v>
      </c>
      <c r="J63" s="40">
        <v>1</v>
      </c>
      <c r="K63" s="67">
        <f t="shared" si="1"/>
        <v>5</v>
      </c>
      <c r="L63" s="80"/>
      <c r="M63" s="40"/>
    </row>
    <row r="64" spans="1:13" ht="38.25" x14ac:dyDescent="0.25">
      <c r="A64" s="50"/>
      <c r="B64" s="47">
        <f t="shared" si="0"/>
        <v>55</v>
      </c>
      <c r="C64" s="48" t="s">
        <v>263</v>
      </c>
      <c r="D64" s="40" t="s">
        <v>223</v>
      </c>
      <c r="E64" s="40" t="s">
        <v>223</v>
      </c>
      <c r="F64" s="40" t="s">
        <v>223</v>
      </c>
      <c r="G64" s="40" t="s">
        <v>223</v>
      </c>
      <c r="H64" s="40" t="s">
        <v>223</v>
      </c>
      <c r="I64" s="40" t="s">
        <v>223</v>
      </c>
      <c r="J64" s="40">
        <v>1</v>
      </c>
      <c r="K64" s="67">
        <f t="shared" si="1"/>
        <v>5</v>
      </c>
      <c r="L64" s="81" t="s">
        <v>270</v>
      </c>
      <c r="M64" s="40"/>
    </row>
    <row r="65" spans="1:13" ht="38.25" x14ac:dyDescent="0.25">
      <c r="A65" s="50"/>
      <c r="B65" s="47">
        <f t="shared" si="0"/>
        <v>56</v>
      </c>
      <c r="C65" s="48" t="s">
        <v>264</v>
      </c>
      <c r="D65" s="40" t="s">
        <v>223</v>
      </c>
      <c r="E65" s="40" t="s">
        <v>223</v>
      </c>
      <c r="F65" s="40" t="s">
        <v>223</v>
      </c>
      <c r="G65" s="40" t="s">
        <v>223</v>
      </c>
      <c r="H65" s="40" t="s">
        <v>223</v>
      </c>
      <c r="I65" s="40" t="s">
        <v>223</v>
      </c>
      <c r="J65" s="40">
        <v>1</v>
      </c>
      <c r="K65" s="67">
        <f t="shared" si="1"/>
        <v>5</v>
      </c>
      <c r="L65" s="81" t="s">
        <v>270</v>
      </c>
      <c r="M65" s="40"/>
    </row>
    <row r="66" spans="1:13" ht="38.25" x14ac:dyDescent="0.25">
      <c r="A66" s="50"/>
      <c r="B66" s="47">
        <f t="shared" si="0"/>
        <v>57</v>
      </c>
      <c r="C66" s="48" t="s">
        <v>269</v>
      </c>
      <c r="D66" s="40" t="s">
        <v>223</v>
      </c>
      <c r="E66" s="40" t="s">
        <v>223</v>
      </c>
      <c r="F66" s="40" t="s">
        <v>223</v>
      </c>
      <c r="G66" s="40" t="s">
        <v>223</v>
      </c>
      <c r="H66" s="40" t="s">
        <v>223</v>
      </c>
      <c r="I66" s="40"/>
      <c r="J66" s="40">
        <v>1</v>
      </c>
      <c r="K66" s="67">
        <f t="shared" si="1"/>
        <v>5</v>
      </c>
      <c r="L66" s="81" t="s">
        <v>270</v>
      </c>
      <c r="M66" s="40"/>
    </row>
    <row r="67" spans="1:13" ht="30.75" thickBot="1" x14ac:dyDescent="0.3">
      <c r="A67" s="50"/>
      <c r="B67" s="47">
        <f t="shared" si="0"/>
        <v>58</v>
      </c>
      <c r="C67" s="48" t="s">
        <v>265</v>
      </c>
      <c r="D67" s="40" t="s">
        <v>223</v>
      </c>
      <c r="E67" s="40" t="s">
        <v>266</v>
      </c>
      <c r="F67" s="40" t="s">
        <v>223</v>
      </c>
      <c r="G67" s="40" t="s">
        <v>267</v>
      </c>
      <c r="H67" s="40" t="s">
        <v>268</v>
      </c>
      <c r="I67" s="40" t="s">
        <v>223</v>
      </c>
      <c r="J67" s="40">
        <v>1</v>
      </c>
      <c r="K67" s="67">
        <f t="shared" si="1"/>
        <v>5</v>
      </c>
      <c r="L67" s="80"/>
      <c r="M67" s="59"/>
    </row>
    <row r="68" spans="1:13" ht="15.75" thickBot="1" x14ac:dyDescent="0.3">
      <c r="A68" s="1"/>
      <c r="B68" s="53"/>
      <c r="C68" s="54"/>
      <c r="D68" s="55"/>
      <c r="E68" s="56"/>
      <c r="F68" s="57"/>
      <c r="G68" s="58"/>
      <c r="H68" s="57"/>
      <c r="I68" s="58"/>
      <c r="J68" s="58"/>
      <c r="K68" s="58"/>
      <c r="L68" s="64"/>
      <c r="M68" s="65"/>
    </row>
    <row r="69" spans="1:13" x14ac:dyDescent="0.25">
      <c r="B69"/>
      <c r="C69"/>
    </row>
    <row r="70" spans="1:13" x14ac:dyDescent="0.25">
      <c r="B70"/>
      <c r="C70"/>
    </row>
    <row r="71" spans="1:13" x14ac:dyDescent="0.25">
      <c r="B71"/>
      <c r="C71"/>
    </row>
    <row r="72" spans="1:13" x14ac:dyDescent="0.25">
      <c r="B72"/>
      <c r="C72"/>
    </row>
    <row r="73" spans="1:13" x14ac:dyDescent="0.25">
      <c r="B73"/>
      <c r="C73"/>
    </row>
    <row r="74" spans="1:13" x14ac:dyDescent="0.25">
      <c r="B74"/>
      <c r="C74"/>
    </row>
    <row r="75" spans="1:13" x14ac:dyDescent="0.25">
      <c r="B75"/>
      <c r="C75"/>
    </row>
    <row r="76" spans="1:13" x14ac:dyDescent="0.25">
      <c r="B76"/>
      <c r="C76"/>
    </row>
    <row r="77" spans="1:13" x14ac:dyDescent="0.25">
      <c r="B77"/>
      <c r="C77"/>
    </row>
  </sheetData>
  <mergeCells count="3">
    <mergeCell ref="I1:M1"/>
    <mergeCell ref="M3:M8"/>
    <mergeCell ref="L68:M6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 Board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2023-02-14T16:32:19Z</dcterms:modified>
</cp:coreProperties>
</file>