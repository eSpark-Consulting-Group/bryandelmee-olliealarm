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bryandelmee-olliealarm\Design Files\Side-PCB-v1.1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B17" i="1" l="1"/>
  <c r="B16" i="1"/>
  <c r="B15" i="1"/>
  <c r="B14" i="1"/>
  <c r="B13" i="1"/>
  <c r="B12" i="1"/>
  <c r="B11" i="1" l="1"/>
  <c r="B10" i="1"/>
</calcChain>
</file>

<file path=xl/sharedStrings.xml><?xml version="1.0" encoding="utf-8"?>
<sst xmlns="http://schemas.openxmlformats.org/spreadsheetml/2006/main" count="74" uniqueCount="63">
  <si>
    <t>Component list</t>
  </si>
  <si>
    <t>Source Data From:</t>
  </si>
  <si>
    <t>Project:</t>
  </si>
  <si>
    <t>Variant:</t>
  </si>
  <si>
    <t>#</t>
  </si>
  <si>
    <t>None</t>
  </si>
  <si>
    <t>Item Type</t>
  </si>
  <si>
    <t>Capacitor</t>
  </si>
  <si>
    <t>Diode</t>
  </si>
  <si>
    <t>Fuse</t>
  </si>
  <si>
    <t>JST Right Angle</t>
  </si>
  <si>
    <t>USB Connector</t>
  </si>
  <si>
    <t>Resistor</t>
  </si>
  <si>
    <t>Switch</t>
  </si>
  <si>
    <t>Designator</t>
  </si>
  <si>
    <t>C1, C2, C3, C4</t>
  </si>
  <si>
    <t>C62</t>
  </si>
  <si>
    <t>D1</t>
  </si>
  <si>
    <t>F1</t>
  </si>
  <si>
    <t>J1</t>
  </si>
  <si>
    <t>J2</t>
  </si>
  <si>
    <t>R1, R2</t>
  </si>
  <si>
    <t>SW1</t>
  </si>
  <si>
    <t>Description</t>
  </si>
  <si>
    <t>CAP CER 1000PF 25V C0G 0402</t>
  </si>
  <si>
    <t>CAP CER 0.1UF 25V X5R 0402</t>
  </si>
  <si>
    <t>TVS DIODE 5VWM 6.3VC DSN0603-2</t>
  </si>
  <si>
    <t>6V 2A 50A 1W -40℃~+85℃ 4A 4mΩ 5s 45mΩ 0805 Resettable Fuses ROHS</t>
  </si>
  <si>
    <t>1x5P 1 1.25mm Male pin 5 -25℃~+85℃ Surface Mount SMD,P=1.25mm Wire To Board / Wire To Wire Connector ROHS</t>
  </si>
  <si>
    <t>USB 3.1 1 Brick nogging 16 Female Type-C SMD USB Connectors ROHS</t>
  </si>
  <si>
    <t>RES 5.1K OHM 1% 1/16W 0402</t>
  </si>
  <si>
    <t>-25℃~+85℃ 6mm 5mm Round Button 50mA Brick nogging 6mm SPST 100MΩ 100000 250gf@±30gf 12V SMD Tactile Switches ROHS</t>
  </si>
  <si>
    <t>Footprint</t>
  </si>
  <si>
    <t>Cap-0402</t>
  </si>
  <si>
    <t>DSN0603-2</t>
  </si>
  <si>
    <t>Fuse-0805</t>
  </si>
  <si>
    <t>1.25-5PWB</t>
  </si>
  <si>
    <t>918-418K2022Y40009</t>
  </si>
  <si>
    <t>Res-0402</t>
  </si>
  <si>
    <t>K2-1102SP-C4SC-04</t>
  </si>
  <si>
    <t>Manufacturer Part Number</t>
  </si>
  <si>
    <t>C1005C0G1E102JT000F</t>
  </si>
  <si>
    <t>CC0402KRX5R8BB104</t>
  </si>
  <si>
    <t>PESD5V0H1BSFYL</t>
  </si>
  <si>
    <t>BSMD0805L-200</t>
  </si>
  <si>
    <t>RC0402FR-075K1L</t>
  </si>
  <si>
    <t>Manufacturer</t>
  </si>
  <si>
    <t>TDK</t>
  </si>
  <si>
    <t>Yageo</t>
  </si>
  <si>
    <t>Nexperia</t>
  </si>
  <si>
    <t>BHFUSE</t>
  </si>
  <si>
    <t>DEALON</t>
  </si>
  <si>
    <t>Jing Extension</t>
  </si>
  <si>
    <t>Korean Hroparts Elec</t>
  </si>
  <si>
    <t>1nF</t>
  </si>
  <si>
    <t>100nF</t>
  </si>
  <si>
    <t>5.1K</t>
  </si>
  <si>
    <t>Quantity</t>
  </si>
  <si>
    <t>Side-PCB-v1.1]</t>
  </si>
  <si>
    <t>Bill of Materials for Project [Side-PCB-v1.1.]</t>
  </si>
  <si>
    <t>-</t>
  </si>
  <si>
    <t>Remarks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</si>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</sst>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h:mm:ss\ AM/PM;@"/>
  </numFmts>
  <fonts count="19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24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1" tint="0.499984740745262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6" fillId="3" borderId="11" xfId="0" applyFont="1" applyFill="1" applyBorder="1" applyAlignment="1">
      <alignment vertical="center"/>
    </xf>
    <xf numFmtId="0" fontId="7" fillId="3" borderId="0" xfId="0" applyFont="1" applyFill="1"/>
    <xf numFmtId="0" fontId="8" fillId="3" borderId="5" xfId="0" applyFont="1" applyFill="1" applyBorder="1"/>
    <xf numFmtId="0" fontId="8" fillId="3" borderId="6" xfId="0" applyFont="1" applyFill="1" applyBorder="1"/>
    <xf numFmtId="0" fontId="9" fillId="3" borderId="0" xfId="0" applyFont="1" applyFill="1"/>
    <xf numFmtId="0" fontId="10" fillId="3" borderId="3" xfId="0" applyFont="1" applyFill="1" applyBorder="1" applyAlignment="1" applyProtection="1">
      <alignment horizontal="left" vertical="top"/>
      <protection locked="0"/>
    </xf>
    <xf numFmtId="0" fontId="11" fillId="3" borderId="3" xfId="0" applyFont="1" applyFill="1" applyBorder="1" applyAlignment="1" applyProtection="1">
      <alignment horizontal="left" vertical="top"/>
      <protection locked="0"/>
    </xf>
    <xf numFmtId="0" fontId="13" fillId="3" borderId="10" xfId="0" applyFont="1" applyFill="1" applyBorder="1" applyAlignment="1">
      <alignment vertical="center"/>
    </xf>
    <xf numFmtId="0" fontId="14" fillId="3" borderId="11" xfId="0" applyFont="1" applyFill="1" applyBorder="1" applyAlignment="1">
      <alignment vertical="center"/>
    </xf>
    <xf numFmtId="0" fontId="10" fillId="3" borderId="0" xfId="0" applyFont="1" applyFill="1"/>
    <xf numFmtId="0" fontId="12" fillId="3" borderId="6" xfId="0" applyFont="1" applyFill="1" applyBorder="1"/>
    <xf numFmtId="0" fontId="12" fillId="3" borderId="5" xfId="0" applyFont="1" applyFill="1" applyBorder="1"/>
    <xf numFmtId="0" fontId="10" fillId="3" borderId="5" xfId="0" applyFont="1" applyFill="1" applyBorder="1"/>
    <xf numFmtId="0" fontId="12" fillId="3" borderId="5" xfId="0" applyFont="1" applyFill="1" applyBorder="1" applyAlignment="1">
      <alignment horizontal="left"/>
    </xf>
    <xf numFmtId="0" fontId="15" fillId="3" borderId="0" xfId="0" applyFont="1" applyFill="1"/>
    <xf numFmtId="0" fontId="12" fillId="3" borderId="1" xfId="0" applyFont="1" applyFill="1" applyBorder="1" applyAlignment="1">
      <alignment horizontal="left"/>
    </xf>
    <xf numFmtId="0" fontId="1" fillId="2" borderId="0" xfId="0" applyFont="1" applyFill="1" applyAlignment="1">
      <alignment horizontal="center"/>
    </xf>
    <xf numFmtId="0" fontId="2" fillId="3" borderId="9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12" fillId="3" borderId="13" xfId="0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4" fillId="3" borderId="7" xfId="0" applyFont="1" applyFill="1" applyBorder="1" applyAlignment="1">
      <alignment horizontal="center"/>
    </xf>
    <xf numFmtId="0" fontId="12" fillId="3" borderId="0" xfId="0" applyFont="1" applyFill="1"/>
    <xf numFmtId="164" fontId="12" fillId="3" borderId="0" xfId="0" applyNumberFormat="1" applyFont="1" applyFill="1" applyAlignment="1">
      <alignment horizontal="left"/>
    </xf>
    <xf numFmtId="0" fontId="16" fillId="4" borderId="14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/>
    </xf>
    <xf numFmtId="0" fontId="10" fillId="3" borderId="9" xfId="0" applyFont="1" applyFill="1" applyBorder="1" applyAlignment="1" applyProtection="1">
      <alignment horizontal="center" vertical="center"/>
      <protection locked="0"/>
    </xf>
    <xf numFmtId="0" fontId="10" fillId="3" borderId="10" xfId="0" applyFont="1" applyFill="1" applyBorder="1" applyAlignment="1" applyProtection="1">
      <alignment vertical="center"/>
      <protection locked="0"/>
    </xf>
    <xf numFmtId="0" fontId="11" fillId="3" borderId="10" xfId="0" applyFont="1" applyFill="1" applyBorder="1" applyAlignment="1" applyProtection="1">
      <alignment horizontal="left" vertical="center"/>
      <protection locked="0"/>
    </xf>
    <xf numFmtId="0" fontId="0" fillId="3" borderId="10" xfId="0" applyFill="1" applyBorder="1" applyAlignment="1">
      <alignment vertical="center"/>
    </xf>
    <xf numFmtId="0" fontId="0" fillId="3" borderId="10" xfId="0" applyFill="1" applyBorder="1"/>
    <xf numFmtId="0" fontId="17" fillId="2" borderId="15" xfId="0" applyFont="1" applyFill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 wrapText="1"/>
    </xf>
    <xf numFmtId="0" fontId="17" fillId="2" borderId="16" xfId="0" applyFont="1" applyFill="1" applyBorder="1" applyAlignment="1">
      <alignment horizontal="center" vertical="center" wrapText="1"/>
    </xf>
    <xf numFmtId="0" fontId="17" fillId="2" borderId="6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vertical="center"/>
    </xf>
    <xf numFmtId="0" fontId="0" fillId="3" borderId="8" xfId="0" applyFill="1" applyBorder="1"/>
    <xf numFmtId="0" fontId="11" fillId="3" borderId="17" xfId="0" applyFont="1" applyFill="1" applyBorder="1" applyAlignment="1" applyProtection="1">
      <alignment horizontal="left" vertical="top"/>
      <protection locked="0"/>
    </xf>
    <xf numFmtId="0" fontId="2" fillId="3" borderId="10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5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10" fillId="3" borderId="10" xfId="0" applyFont="1" applyFill="1" applyBorder="1" applyAlignment="1" applyProtection="1">
      <alignment horizontal="center" vertical="center"/>
      <protection locked="0"/>
    </xf>
    <xf numFmtId="0" fontId="12" fillId="3" borderId="3" xfId="0" applyFont="1" applyFill="1" applyBorder="1" applyAlignment="1" applyProtection="1">
      <alignment horizontal="center" vertical="top"/>
      <protection locked="0"/>
    </xf>
    <xf numFmtId="0" fontId="10" fillId="4" borderId="14" xfId="0" applyFont="1" applyFill="1" applyBorder="1" applyAlignment="1">
      <alignment horizontal="center" vertical="center" wrapText="1"/>
    </xf>
    <xf numFmtId="0" fontId="14" fillId="3" borderId="11" xfId="0" quotePrefix="1" applyFont="1" applyFill="1" applyBorder="1" applyAlignment="1">
      <alignment vertical="center"/>
    </xf>
    <xf numFmtId="0" fontId="10" fillId="3" borderId="0" xfId="0" quotePrefix="1" applyFont="1" applyFill="1" applyAlignment="1">
      <alignment horizontal="left"/>
    </xf>
    <xf numFmtId="0" fontId="10" fillId="3" borderId="6" xfId="0" quotePrefix="1" applyFont="1" applyFill="1" applyBorder="1" applyAlignment="1">
      <alignment horizontal="left"/>
    </xf>
    <xf numFmtId="0" fontId="10" fillId="3" borderId="5" xfId="0" quotePrefix="1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18" fillId="2" borderId="1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47625</xdr:colOff>
      <xdr:row>2</xdr:row>
      <xdr:rowOff>19942</xdr:rowOff>
    </xdr:from>
    <xdr:to>
      <xdr:col>10</xdr:col>
      <xdr:colOff>1905000</xdr:colOff>
      <xdr:row>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059650" y="629542"/>
          <a:ext cx="1857375" cy="11040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19"/>
  <sheetViews>
    <sheetView tabSelected="1" workbookViewId="0">
      <selection activeCell="C16" sqref="C16"/>
    </sheetView>
  </sheetViews>
  <sheetFormatPr defaultRowHeight="15" x14ac:dyDescent="0.25"/>
  <cols>
    <col min="2" max="2" width="3.140625" style="25" customWidth="1"/>
    <col min="3" max="3" width="18.7109375" style="25" bestFit="1" customWidth="1"/>
    <col min="4" max="4" width="31.140625" bestFit="1" customWidth="1"/>
    <col min="5" max="5" width="30" customWidth="1"/>
    <col min="6" max="6" width="26.5703125" bestFit="1" customWidth="1"/>
    <col min="7" max="7" width="25.28515625" bestFit="1" customWidth="1"/>
    <col min="8" max="8" width="21.42578125" bestFit="1" customWidth="1"/>
    <col min="9" max="9" width="6.140625" bestFit="1" customWidth="1"/>
    <col min="10" max="10" width="8.7109375" bestFit="1" customWidth="1"/>
    <col min="11" max="11" width="29.42578125" customWidth="1"/>
  </cols>
  <sheetData>
    <row r="1" spans="1:11" ht="15.75" thickBot="1" x14ac:dyDescent="0.3">
      <c r="A1" s="1"/>
      <c r="B1" s="19"/>
      <c r="C1" s="19"/>
      <c r="D1" s="2"/>
      <c r="E1" s="2"/>
      <c r="F1" s="2"/>
      <c r="G1" s="2"/>
      <c r="H1" s="2"/>
      <c r="I1" s="55"/>
      <c r="J1" s="55"/>
      <c r="K1" s="55"/>
    </row>
    <row r="2" spans="1:11" ht="32.25" thickBot="1" x14ac:dyDescent="0.3">
      <c r="A2" s="1"/>
      <c r="B2" s="20"/>
      <c r="C2" s="43"/>
      <c r="D2" s="10" t="s">
        <v>0</v>
      </c>
      <c r="E2" s="10"/>
      <c r="F2" s="51" t="s">
        <v>59</v>
      </c>
      <c r="G2" s="11"/>
      <c r="H2" s="3"/>
      <c r="I2" s="3"/>
      <c r="J2" s="3"/>
      <c r="K2" s="40"/>
    </row>
    <row r="3" spans="1:11" x14ac:dyDescent="0.25">
      <c r="A3" s="1"/>
      <c r="B3" s="21"/>
      <c r="C3" s="44"/>
      <c r="D3" s="12" t="s">
        <v>1</v>
      </c>
      <c r="E3" s="12"/>
      <c r="F3" s="52" t="s">
        <v>58</v>
      </c>
      <c r="G3" s="12"/>
      <c r="H3" s="4"/>
      <c r="I3" s="4"/>
      <c r="J3" s="4"/>
      <c r="K3" s="56"/>
    </row>
    <row r="4" spans="1:11" x14ac:dyDescent="0.25">
      <c r="A4" s="1"/>
      <c r="B4" s="21"/>
      <c r="C4" s="44"/>
      <c r="D4" s="12" t="s">
        <v>2</v>
      </c>
      <c r="E4" s="12"/>
      <c r="F4" s="53" t="s">
        <v>58</v>
      </c>
      <c r="G4" s="13"/>
      <c r="H4" s="6"/>
      <c r="I4" s="6"/>
      <c r="J4" s="6"/>
      <c r="K4" s="57"/>
    </row>
    <row r="5" spans="1:11" x14ac:dyDescent="0.25">
      <c r="A5" s="1"/>
      <c r="B5" s="21"/>
      <c r="C5" s="44"/>
      <c r="D5" s="12" t="s">
        <v>3</v>
      </c>
      <c r="E5" s="12"/>
      <c r="F5" s="54" t="s">
        <v>5</v>
      </c>
      <c r="G5" s="14"/>
      <c r="H5" s="5"/>
      <c r="I5" s="5"/>
      <c r="J5" s="5"/>
      <c r="K5" s="57"/>
    </row>
    <row r="6" spans="1:11" x14ac:dyDescent="0.25">
      <c r="A6" s="1"/>
      <c r="B6" s="22"/>
      <c r="C6" s="45"/>
      <c r="D6" s="15"/>
      <c r="E6" s="15"/>
      <c r="F6" s="16"/>
      <c r="G6" s="14"/>
      <c r="H6" s="5"/>
      <c r="I6" s="5"/>
      <c r="J6" s="5"/>
      <c r="K6" s="57"/>
    </row>
    <row r="7" spans="1:11" x14ac:dyDescent="0.25">
      <c r="A7" s="1"/>
      <c r="B7" s="23"/>
      <c r="C7" s="46"/>
      <c r="D7" s="17"/>
      <c r="E7" s="17"/>
      <c r="F7" s="18"/>
      <c r="G7" s="17"/>
      <c r="H7" s="7"/>
      <c r="I7" s="7"/>
      <c r="J7" s="7"/>
      <c r="K7" s="57"/>
    </row>
    <row r="8" spans="1:11" ht="15.75" thickBot="1" x14ac:dyDescent="0.3">
      <c r="A8" s="1"/>
      <c r="B8" s="26"/>
      <c r="C8" s="47"/>
      <c r="D8" s="27"/>
      <c r="E8" s="27"/>
      <c r="F8" s="28"/>
      <c r="G8" s="17"/>
      <c r="H8" s="7"/>
      <c r="I8" s="7"/>
      <c r="J8" s="7"/>
      <c r="K8" s="57"/>
    </row>
    <row r="9" spans="1:11" ht="15.75" thickBot="1" x14ac:dyDescent="0.3">
      <c r="A9" s="1"/>
      <c r="B9" s="29" t="s">
        <v>4</v>
      </c>
      <c r="C9" s="29" t="s">
        <v>6</v>
      </c>
      <c r="D9" s="29" t="s">
        <v>14</v>
      </c>
      <c r="E9" s="30" t="s">
        <v>23</v>
      </c>
      <c r="F9" s="29" t="s">
        <v>32</v>
      </c>
      <c r="G9" s="30" t="s">
        <v>40</v>
      </c>
      <c r="H9" s="29" t="s">
        <v>46</v>
      </c>
      <c r="I9" s="29" t="s">
        <v>62</v>
      </c>
      <c r="J9" s="29" t="s">
        <v>57</v>
      </c>
      <c r="K9" s="29" t="s">
        <v>61</v>
      </c>
    </row>
    <row r="10" spans="1:11" ht="15.75" thickBot="1" x14ac:dyDescent="0.3">
      <c r="A10" s="1"/>
      <c r="B10" s="50">
        <f>ROW(B10) - ROW($B$9)</f>
        <v>1</v>
      </c>
      <c r="C10" s="58" t="s">
        <v>7</v>
      </c>
      <c r="D10" s="36" t="s">
        <v>15</v>
      </c>
      <c r="E10" s="37" t="s">
        <v>24</v>
      </c>
      <c r="F10" s="36" t="s">
        <v>33</v>
      </c>
      <c r="G10" s="37" t="s">
        <v>41</v>
      </c>
      <c r="H10" s="36" t="s">
        <v>47</v>
      </c>
      <c r="I10" s="37" t="s">
        <v>54</v>
      </c>
      <c r="J10" s="36">
        <v>4</v>
      </c>
      <c r="K10" s="36"/>
    </row>
    <row r="11" spans="1:11" ht="15.75" thickBot="1" x14ac:dyDescent="0.3">
      <c r="A11" s="1"/>
      <c r="B11" s="50">
        <f t="shared" ref="B11:B17" si="0">ROW(B11) - ROW($B$9)</f>
        <v>2</v>
      </c>
      <c r="C11" s="58" t="s">
        <v>7</v>
      </c>
      <c r="D11" s="38" t="s">
        <v>16</v>
      </c>
      <c r="E11" s="39" t="s">
        <v>25</v>
      </c>
      <c r="F11" s="38" t="s">
        <v>33</v>
      </c>
      <c r="G11" s="39" t="s">
        <v>42</v>
      </c>
      <c r="H11" s="38" t="s">
        <v>48</v>
      </c>
      <c r="I11" s="39" t="s">
        <v>55</v>
      </c>
      <c r="J11" s="38">
        <v>1</v>
      </c>
      <c r="K11" s="38"/>
    </row>
    <row r="12" spans="1:11" ht="15.75" thickBot="1" x14ac:dyDescent="0.3">
      <c r="A12" s="1"/>
      <c r="B12" s="50">
        <f>ROW(B12) - ROW($B$9)</f>
        <v>3</v>
      </c>
      <c r="C12" s="58" t="s">
        <v>8</v>
      </c>
      <c r="D12" s="36" t="s">
        <v>17</v>
      </c>
      <c r="E12" s="37" t="s">
        <v>26</v>
      </c>
      <c r="F12" s="36" t="s">
        <v>34</v>
      </c>
      <c r="G12" s="37" t="s">
        <v>43</v>
      </c>
      <c r="H12" s="36" t="s">
        <v>49</v>
      </c>
      <c r="I12" s="37" t="s">
        <v>60</v>
      </c>
      <c r="J12" s="36">
        <v>1</v>
      </c>
      <c r="K12" s="36"/>
    </row>
    <row r="13" spans="1:11" ht="24.75" thickBot="1" x14ac:dyDescent="0.3">
      <c r="A13" s="1"/>
      <c r="B13" s="50">
        <f t="shared" si="0"/>
        <v>4</v>
      </c>
      <c r="C13" s="58" t="s">
        <v>9</v>
      </c>
      <c r="D13" s="38" t="s">
        <v>18</v>
      </c>
      <c r="E13" s="39" t="s">
        <v>27</v>
      </c>
      <c r="F13" s="38" t="s">
        <v>35</v>
      </c>
      <c r="G13" s="39" t="s">
        <v>44</v>
      </c>
      <c r="H13" s="38" t="s">
        <v>50</v>
      </c>
      <c r="I13" s="39" t="s">
        <v>60</v>
      </c>
      <c r="J13" s="38">
        <v>1</v>
      </c>
      <c r="K13" s="38"/>
    </row>
    <row r="14" spans="1:11" ht="48.75" thickBot="1" x14ac:dyDescent="0.3">
      <c r="A14" s="1"/>
      <c r="B14" s="50">
        <f>ROW(B14) - ROW($B$9)</f>
        <v>5</v>
      </c>
      <c r="C14" s="58" t="s">
        <v>10</v>
      </c>
      <c r="D14" s="36" t="s">
        <v>19</v>
      </c>
      <c r="E14" s="37" t="s">
        <v>28</v>
      </c>
      <c r="F14" s="36" t="s">
        <v>36</v>
      </c>
      <c r="G14" s="37" t="s">
        <v>36</v>
      </c>
      <c r="H14" s="36" t="s">
        <v>51</v>
      </c>
      <c r="I14" s="37" t="s">
        <v>60</v>
      </c>
      <c r="J14" s="36">
        <v>1</v>
      </c>
      <c r="K14" s="36"/>
    </row>
    <row r="15" spans="1:11" ht="24.75" thickBot="1" x14ac:dyDescent="0.3">
      <c r="A15" s="1"/>
      <c r="B15" s="50">
        <f t="shared" si="0"/>
        <v>6</v>
      </c>
      <c r="C15" s="58" t="s">
        <v>11</v>
      </c>
      <c r="D15" s="38" t="s">
        <v>20</v>
      </c>
      <c r="E15" s="39" t="s">
        <v>29</v>
      </c>
      <c r="F15" s="38" t="s">
        <v>37</v>
      </c>
      <c r="G15" s="39" t="s">
        <v>37</v>
      </c>
      <c r="H15" s="38" t="s">
        <v>52</v>
      </c>
      <c r="I15" s="39" t="s">
        <v>60</v>
      </c>
      <c r="J15" s="38">
        <v>1</v>
      </c>
      <c r="K15" s="38"/>
    </row>
    <row r="16" spans="1:11" ht="15.75" thickBot="1" x14ac:dyDescent="0.3">
      <c r="A16" s="1"/>
      <c r="B16" s="50">
        <f>ROW(B16) - ROW($B$9)</f>
        <v>7</v>
      </c>
      <c r="C16" s="58" t="s">
        <v>12</v>
      </c>
      <c r="D16" s="36" t="s">
        <v>21</v>
      </c>
      <c r="E16" s="37" t="s">
        <v>30</v>
      </c>
      <c r="F16" s="36" t="s">
        <v>38</v>
      </c>
      <c r="G16" s="37" t="s">
        <v>45</v>
      </c>
      <c r="H16" s="36" t="s">
        <v>48</v>
      </c>
      <c r="I16" s="37" t="s">
        <v>56</v>
      </c>
      <c r="J16" s="36">
        <v>2</v>
      </c>
      <c r="K16" s="36"/>
    </row>
    <row r="17" spans="1:11" ht="48.75" thickBot="1" x14ac:dyDescent="0.3">
      <c r="A17" s="1"/>
      <c r="B17" s="50">
        <f t="shared" si="0"/>
        <v>8</v>
      </c>
      <c r="C17" s="58" t="s">
        <v>13</v>
      </c>
      <c r="D17" s="38" t="s">
        <v>22</v>
      </c>
      <c r="E17" s="39" t="s">
        <v>31</v>
      </c>
      <c r="F17" s="38" t="s">
        <v>39</v>
      </c>
      <c r="G17" s="39" t="s">
        <v>39</v>
      </c>
      <c r="H17" s="38" t="s">
        <v>53</v>
      </c>
      <c r="I17" s="39" t="s">
        <v>60</v>
      </c>
      <c r="J17" s="38">
        <v>1</v>
      </c>
      <c r="K17" s="38"/>
    </row>
    <row r="18" spans="1:11" x14ac:dyDescent="0.25">
      <c r="A18" s="1"/>
      <c r="B18" s="31"/>
      <c r="C18" s="48"/>
      <c r="D18" s="32"/>
      <c r="E18" s="33"/>
      <c r="F18" s="34"/>
      <c r="G18" s="35"/>
      <c r="H18" s="34"/>
      <c r="I18" s="35"/>
      <c r="J18" s="35"/>
      <c r="K18" s="41"/>
    </row>
    <row r="19" spans="1:11" ht="15.75" thickBot="1" x14ac:dyDescent="0.3">
      <c r="A19" s="1"/>
      <c r="B19" s="24"/>
      <c r="C19" s="49"/>
      <c r="D19" s="8"/>
      <c r="E19" s="9"/>
      <c r="F19" s="9"/>
      <c r="G19" s="9"/>
      <c r="H19" s="9"/>
      <c r="I19" s="9"/>
      <c r="J19" s="9"/>
      <c r="K19" s="42"/>
    </row>
  </sheetData>
  <mergeCells count="2">
    <mergeCell ref="I1:K1"/>
    <mergeCell ref="K3:K8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2023-07-14T11:21:30Z</dcterms:modified>
</cp:coreProperties>
</file>